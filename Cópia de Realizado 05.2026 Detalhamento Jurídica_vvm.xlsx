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ctormiranda/Documentos/datajuri/"/>
    </mc:Choice>
  </mc:AlternateContent>
  <xr:revisionPtr revIDLastSave="0" documentId="13_ncr:1_{FCFF3338-499D-D442-A30A-66A04C1EDAEF}" xr6:coauthVersionLast="47" xr6:coauthVersionMax="47" xr10:uidLastSave="{00000000-0000-0000-0000-000000000000}"/>
  <bookViews>
    <workbookView xWindow="0" yWindow="660" windowWidth="30240" windowHeight="17780" tabRatio="884" xr2:uid="{A6413F71-A1AE-4507-8094-054675D7965C}"/>
  </bookViews>
  <sheets>
    <sheet name="01. Dinâmica Comparativo POx5M" sheetId="7" r:id="rId1"/>
    <sheet name="02. BD Comparativo POx5M" sheetId="1" r:id="rId2"/>
    <sheet name="03.Dinâmica do Realizado 5M" sheetId="6" r:id="rId3"/>
    <sheet name="04. BD do Realizado 5M" sheetId="2" r:id="rId4"/>
    <sheet name="05. Dinâmica do PO 5M" sheetId="8" r:id="rId5"/>
    <sheet name="06. BD do PO 5M" sheetId="9" r:id="rId6"/>
    <sheet name="07. PO 2026 - Anual" sheetId="5" r:id="rId7"/>
  </sheets>
  <definedNames>
    <definedName name="_xlnm._FilterDatabase" localSheetId="1" hidden="1">'02. BD Comparativo POx5M'!$C$10:$I$132</definedName>
    <definedName name="_xlnm._FilterDatabase" localSheetId="3" hidden="1">'04. BD do Realizado 5M'!$A$2:$K$2</definedName>
    <definedName name="_xlnm._FilterDatabase" localSheetId="5" hidden="1">'06. BD do PO 5M'!$C$5:$W$480</definedName>
    <definedName name="_xlnm._FilterDatabase" localSheetId="6" hidden="1">'07. PO 2026 - Anual'!$C$5:$X$100</definedName>
    <definedName name="Funcionário" localSheetId="5">#REF!</definedName>
    <definedName name="Funcionário" localSheetId="6">#REF!</definedName>
    <definedName name="Funcionário">#REF!</definedName>
    <definedName name="G92008ad2_83fc_4922_88e4_5b00fce39ef0">#REF!</definedName>
    <definedName name="Início" localSheetId="5">#REF!</definedName>
    <definedName name="Início" localSheetId="6">#REF!</definedName>
    <definedName name="Início">#REF!</definedName>
    <definedName name="SegmentaçãodeDados_Item_Orçamentário">#N/A</definedName>
    <definedName name="SegmentaçãodeDados_Item_Orçamentário1">#N/A</definedName>
    <definedName name="SegmentaçãodeDados_Item_Orçamentário2">#N/A</definedName>
    <definedName name="SegmentaçãodeDados_Mês">#N/A</definedName>
    <definedName name="SegmentaçãodeDados_Mês1">#N/A</definedName>
    <definedName name="SegmentaçãodeDados_Nome_Departamento">#N/A</definedName>
    <definedName name="SegmentaçãodeDados_Nome_Departamento1">#N/A</definedName>
    <definedName name="SegmentaçãodeDados_Nome_Departamento2">#N/A</definedName>
    <definedName name="SegmentaçãodeDados_Pacote_Orçamentário">#N/A</definedName>
    <definedName name="SegmentaçãodeDados_Pacote_Orçamentário1">#N/A</definedName>
    <definedName name="SegmentaçãodeDados_Pacote_Orçamentário2">#N/A</definedName>
    <definedName name="Serviço" localSheetId="5">#REF!</definedName>
    <definedName name="Serviço" localSheetId="6">#REF!</definedName>
    <definedName name="Serviço">#REF!</definedName>
    <definedName name="Situação" localSheetId="5">#REF!</definedName>
    <definedName name="Situação" localSheetId="6">#REF!</definedName>
    <definedName name="Situação">#REF!</definedName>
    <definedName name="Término" localSheetId="5">#REF!</definedName>
    <definedName name="Término" localSheetId="6">#REF!</definedName>
    <definedName name="Término">#REF!</definedName>
    <definedName name="versão" localSheetId="5">#REF!</definedName>
    <definedName name="versão" localSheetId="6">#REF!</definedName>
    <definedName name="versão">#REF!</definedName>
  </definedNames>
  <calcPr calcId="191029"/>
  <pivotCaches>
    <pivotCache cacheId="3" r:id="rId8"/>
    <pivotCache cacheId="4" r:id="rId9"/>
    <pivotCache cacheId="5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9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K3" i="5"/>
  <c r="J3" i="5" l="1"/>
  <c r="K1" i="2"/>
  <c r="V3" i="5"/>
  <c r="P3" i="5"/>
  <c r="Q3" i="5"/>
  <c r="J9" i="1"/>
  <c r="K9" i="1"/>
  <c r="N9" i="1"/>
  <c r="O9" i="1"/>
  <c r="R9" i="1"/>
  <c r="S9" i="1"/>
  <c r="V9" i="1"/>
  <c r="W9" i="1"/>
  <c r="Z9" i="1"/>
  <c r="AA9" i="1"/>
  <c r="L11" i="1"/>
  <c r="M11" i="1"/>
  <c r="P11" i="1"/>
  <c r="Q11" i="1"/>
  <c r="T11" i="1"/>
  <c r="U11" i="1"/>
  <c r="X11" i="1"/>
  <c r="Y11" i="1"/>
  <c r="AB11" i="1"/>
  <c r="AC11" i="1"/>
  <c r="AD11" i="1"/>
  <c r="AE11" i="1"/>
  <c r="L12" i="1"/>
  <c r="M12" i="1"/>
  <c r="P12" i="1"/>
  <c r="Q12" i="1"/>
  <c r="T12" i="1"/>
  <c r="U12" i="1"/>
  <c r="X12" i="1"/>
  <c r="Y12" i="1"/>
  <c r="AB12" i="1"/>
  <c r="AC12" i="1"/>
  <c r="AD12" i="1"/>
  <c r="AE12" i="1"/>
  <c r="L13" i="1"/>
  <c r="M13" i="1"/>
  <c r="P13" i="1"/>
  <c r="Q13" i="1"/>
  <c r="T13" i="1"/>
  <c r="U13" i="1"/>
  <c r="X13" i="1"/>
  <c r="Y13" i="1"/>
  <c r="AB13" i="1"/>
  <c r="AC13" i="1"/>
  <c r="AD13" i="1"/>
  <c r="AE13" i="1"/>
  <c r="L14" i="1"/>
  <c r="M14" i="1"/>
  <c r="P14" i="1"/>
  <c r="Q14" i="1"/>
  <c r="T14" i="1"/>
  <c r="U14" i="1"/>
  <c r="X14" i="1"/>
  <c r="Y14" i="1"/>
  <c r="AB14" i="1"/>
  <c r="AC14" i="1"/>
  <c r="AD14" i="1"/>
  <c r="AE14" i="1"/>
  <c r="L15" i="1"/>
  <c r="M15" i="1"/>
  <c r="P15" i="1"/>
  <c r="Q15" i="1"/>
  <c r="T15" i="1"/>
  <c r="U15" i="1"/>
  <c r="X15" i="1"/>
  <c r="Y15" i="1"/>
  <c r="AB15" i="1"/>
  <c r="AC15" i="1"/>
  <c r="AD15" i="1"/>
  <c r="AE15" i="1"/>
  <c r="L16" i="1"/>
  <c r="M16" i="1"/>
  <c r="P16" i="1"/>
  <c r="Q16" i="1"/>
  <c r="T16" i="1"/>
  <c r="U16" i="1"/>
  <c r="X16" i="1"/>
  <c r="Y16" i="1"/>
  <c r="AB16" i="1"/>
  <c r="AC16" i="1"/>
  <c r="AD16" i="1"/>
  <c r="AE16" i="1"/>
  <c r="L17" i="1"/>
  <c r="M17" i="1"/>
  <c r="P17" i="1"/>
  <c r="Q17" i="1"/>
  <c r="T17" i="1"/>
  <c r="U17" i="1"/>
  <c r="X17" i="1"/>
  <c r="Y17" i="1"/>
  <c r="AB17" i="1"/>
  <c r="AC17" i="1"/>
  <c r="AD17" i="1"/>
  <c r="AE17" i="1"/>
  <c r="L18" i="1"/>
  <c r="M18" i="1"/>
  <c r="P18" i="1"/>
  <c r="Q18" i="1"/>
  <c r="T18" i="1"/>
  <c r="U18" i="1"/>
  <c r="X18" i="1"/>
  <c r="Y18" i="1"/>
  <c r="AB18" i="1"/>
  <c r="AC18" i="1"/>
  <c r="AD18" i="1"/>
  <c r="AE18" i="1"/>
  <c r="L19" i="1"/>
  <c r="M19" i="1"/>
  <c r="P19" i="1"/>
  <c r="Q19" i="1"/>
  <c r="T19" i="1"/>
  <c r="U19" i="1"/>
  <c r="X19" i="1"/>
  <c r="Y19" i="1"/>
  <c r="AB19" i="1"/>
  <c r="AC19" i="1"/>
  <c r="AD19" i="1"/>
  <c r="AE19" i="1"/>
  <c r="L20" i="1"/>
  <c r="M20" i="1"/>
  <c r="P20" i="1"/>
  <c r="Q20" i="1"/>
  <c r="T20" i="1"/>
  <c r="U20" i="1"/>
  <c r="X20" i="1"/>
  <c r="Y20" i="1"/>
  <c r="AB20" i="1"/>
  <c r="AC20" i="1"/>
  <c r="AD20" i="1"/>
  <c r="AE20" i="1"/>
  <c r="L21" i="1"/>
  <c r="M21" i="1"/>
  <c r="P21" i="1"/>
  <c r="Q21" i="1"/>
  <c r="T21" i="1"/>
  <c r="U21" i="1"/>
  <c r="X21" i="1"/>
  <c r="Y21" i="1"/>
  <c r="AB21" i="1"/>
  <c r="AC21" i="1"/>
  <c r="AD21" i="1"/>
  <c r="AE21" i="1"/>
  <c r="L22" i="1"/>
  <c r="M22" i="1"/>
  <c r="P22" i="1"/>
  <c r="Q22" i="1"/>
  <c r="T22" i="1"/>
  <c r="U22" i="1"/>
  <c r="X22" i="1"/>
  <c r="Y22" i="1"/>
  <c r="AB22" i="1"/>
  <c r="AC22" i="1"/>
  <c r="AD22" i="1"/>
  <c r="AE22" i="1"/>
  <c r="L23" i="1"/>
  <c r="M23" i="1"/>
  <c r="P23" i="1"/>
  <c r="Q23" i="1"/>
  <c r="T23" i="1"/>
  <c r="U23" i="1"/>
  <c r="X23" i="1"/>
  <c r="Y23" i="1"/>
  <c r="AB23" i="1"/>
  <c r="AC23" i="1"/>
  <c r="AD23" i="1"/>
  <c r="AE23" i="1"/>
  <c r="L24" i="1"/>
  <c r="M24" i="1"/>
  <c r="P24" i="1"/>
  <c r="Q24" i="1"/>
  <c r="T24" i="1"/>
  <c r="U24" i="1"/>
  <c r="X24" i="1"/>
  <c r="Y24" i="1"/>
  <c r="AB24" i="1"/>
  <c r="AC24" i="1"/>
  <c r="AD24" i="1"/>
  <c r="AE24" i="1"/>
  <c r="L25" i="1"/>
  <c r="M25" i="1"/>
  <c r="P25" i="1"/>
  <c r="Q25" i="1"/>
  <c r="T25" i="1"/>
  <c r="U25" i="1"/>
  <c r="X25" i="1"/>
  <c r="Y25" i="1"/>
  <c r="AB25" i="1"/>
  <c r="AC25" i="1"/>
  <c r="AD25" i="1"/>
  <c r="AE25" i="1"/>
  <c r="L26" i="1"/>
  <c r="M26" i="1"/>
  <c r="P26" i="1"/>
  <c r="Q26" i="1"/>
  <c r="T26" i="1"/>
  <c r="U26" i="1"/>
  <c r="X26" i="1"/>
  <c r="Y26" i="1"/>
  <c r="AB26" i="1"/>
  <c r="AC26" i="1"/>
  <c r="AD26" i="1"/>
  <c r="AE26" i="1"/>
  <c r="L27" i="1"/>
  <c r="M27" i="1"/>
  <c r="P27" i="1"/>
  <c r="Q27" i="1"/>
  <c r="T27" i="1"/>
  <c r="U27" i="1"/>
  <c r="X27" i="1"/>
  <c r="Y27" i="1"/>
  <c r="AB27" i="1"/>
  <c r="AC27" i="1"/>
  <c r="AD27" i="1"/>
  <c r="AE27" i="1"/>
  <c r="L28" i="1"/>
  <c r="M28" i="1"/>
  <c r="P28" i="1"/>
  <c r="Q28" i="1"/>
  <c r="T28" i="1"/>
  <c r="U28" i="1"/>
  <c r="X28" i="1"/>
  <c r="Y28" i="1"/>
  <c r="AB28" i="1"/>
  <c r="AC28" i="1"/>
  <c r="AD28" i="1"/>
  <c r="AE28" i="1"/>
  <c r="L29" i="1"/>
  <c r="M29" i="1"/>
  <c r="P29" i="1"/>
  <c r="Q29" i="1"/>
  <c r="T29" i="1"/>
  <c r="U29" i="1"/>
  <c r="X29" i="1"/>
  <c r="Y29" i="1"/>
  <c r="AB29" i="1"/>
  <c r="AC29" i="1"/>
  <c r="AD29" i="1"/>
  <c r="AE29" i="1"/>
  <c r="L30" i="1"/>
  <c r="M30" i="1"/>
  <c r="P30" i="1"/>
  <c r="Q30" i="1"/>
  <c r="T30" i="1"/>
  <c r="U30" i="1"/>
  <c r="X30" i="1"/>
  <c r="Y30" i="1"/>
  <c r="AB30" i="1"/>
  <c r="AC30" i="1"/>
  <c r="AD30" i="1"/>
  <c r="AE30" i="1"/>
  <c r="L31" i="1"/>
  <c r="M31" i="1"/>
  <c r="P31" i="1"/>
  <c r="Q31" i="1"/>
  <c r="T31" i="1"/>
  <c r="U31" i="1"/>
  <c r="X31" i="1"/>
  <c r="Y31" i="1"/>
  <c r="AB31" i="1"/>
  <c r="AC31" i="1"/>
  <c r="AD31" i="1"/>
  <c r="AE31" i="1"/>
  <c r="L32" i="1"/>
  <c r="M32" i="1"/>
  <c r="P32" i="1"/>
  <c r="Q32" i="1"/>
  <c r="T32" i="1"/>
  <c r="U32" i="1"/>
  <c r="X32" i="1"/>
  <c r="Y32" i="1"/>
  <c r="AB32" i="1"/>
  <c r="AC32" i="1"/>
  <c r="AD32" i="1"/>
  <c r="AE32" i="1"/>
  <c r="L33" i="1"/>
  <c r="M33" i="1"/>
  <c r="P33" i="1"/>
  <c r="Q33" i="1"/>
  <c r="T33" i="1"/>
  <c r="U33" i="1"/>
  <c r="X33" i="1"/>
  <c r="Y33" i="1"/>
  <c r="AB33" i="1"/>
  <c r="AC33" i="1"/>
  <c r="AD33" i="1"/>
  <c r="AE33" i="1"/>
  <c r="L34" i="1"/>
  <c r="M34" i="1"/>
  <c r="P34" i="1"/>
  <c r="Q34" i="1"/>
  <c r="T34" i="1"/>
  <c r="U34" i="1"/>
  <c r="X34" i="1"/>
  <c r="Y34" i="1"/>
  <c r="AB34" i="1"/>
  <c r="AC34" i="1"/>
  <c r="AD34" i="1"/>
  <c r="AE34" i="1"/>
  <c r="L35" i="1"/>
  <c r="M35" i="1"/>
  <c r="P35" i="1"/>
  <c r="Q35" i="1"/>
  <c r="T35" i="1"/>
  <c r="U35" i="1"/>
  <c r="X35" i="1"/>
  <c r="Y35" i="1"/>
  <c r="AB35" i="1"/>
  <c r="AC35" i="1"/>
  <c r="AD35" i="1"/>
  <c r="AE35" i="1"/>
  <c r="L36" i="1"/>
  <c r="M36" i="1"/>
  <c r="P36" i="1"/>
  <c r="Q36" i="1"/>
  <c r="T36" i="1"/>
  <c r="U36" i="1"/>
  <c r="X36" i="1"/>
  <c r="Y36" i="1"/>
  <c r="AB36" i="1"/>
  <c r="AC36" i="1"/>
  <c r="AD36" i="1"/>
  <c r="AE36" i="1"/>
  <c r="L37" i="1"/>
  <c r="M37" i="1"/>
  <c r="P37" i="1"/>
  <c r="Q37" i="1"/>
  <c r="T37" i="1"/>
  <c r="U37" i="1"/>
  <c r="X37" i="1"/>
  <c r="Y37" i="1"/>
  <c r="AB37" i="1"/>
  <c r="AC37" i="1"/>
  <c r="AD37" i="1"/>
  <c r="AE37" i="1"/>
  <c r="L38" i="1"/>
  <c r="M38" i="1"/>
  <c r="P38" i="1"/>
  <c r="Q38" i="1"/>
  <c r="T38" i="1"/>
  <c r="U38" i="1"/>
  <c r="X38" i="1"/>
  <c r="Y38" i="1"/>
  <c r="AB38" i="1"/>
  <c r="AC38" i="1"/>
  <c r="AD38" i="1"/>
  <c r="AE38" i="1"/>
  <c r="L39" i="1"/>
  <c r="M39" i="1"/>
  <c r="P39" i="1"/>
  <c r="Q39" i="1"/>
  <c r="T39" i="1"/>
  <c r="U39" i="1"/>
  <c r="X39" i="1"/>
  <c r="Y39" i="1"/>
  <c r="AB39" i="1"/>
  <c r="AC39" i="1"/>
  <c r="AD39" i="1"/>
  <c r="AE39" i="1"/>
  <c r="L40" i="1"/>
  <c r="M40" i="1"/>
  <c r="P40" i="1"/>
  <c r="Q40" i="1"/>
  <c r="T40" i="1"/>
  <c r="U40" i="1"/>
  <c r="X40" i="1"/>
  <c r="Y40" i="1"/>
  <c r="AB40" i="1"/>
  <c r="AC40" i="1"/>
  <c r="AD40" i="1"/>
  <c r="AE40" i="1"/>
  <c r="L41" i="1"/>
  <c r="M41" i="1"/>
  <c r="P41" i="1"/>
  <c r="Q41" i="1"/>
  <c r="T41" i="1"/>
  <c r="U41" i="1"/>
  <c r="X41" i="1"/>
  <c r="Y41" i="1"/>
  <c r="AB41" i="1"/>
  <c r="AC41" i="1"/>
  <c r="AD41" i="1"/>
  <c r="AE41" i="1"/>
  <c r="L42" i="1"/>
  <c r="M42" i="1"/>
  <c r="P42" i="1"/>
  <c r="Q42" i="1"/>
  <c r="T42" i="1"/>
  <c r="U42" i="1"/>
  <c r="X42" i="1"/>
  <c r="Y42" i="1"/>
  <c r="AB42" i="1"/>
  <c r="AC42" i="1"/>
  <c r="AD42" i="1"/>
  <c r="AE42" i="1"/>
  <c r="L43" i="1"/>
  <c r="M43" i="1"/>
  <c r="P43" i="1"/>
  <c r="Q43" i="1"/>
  <c r="T43" i="1"/>
  <c r="U43" i="1"/>
  <c r="X43" i="1"/>
  <c r="Y43" i="1"/>
  <c r="AB43" i="1"/>
  <c r="AC43" i="1"/>
  <c r="AD43" i="1"/>
  <c r="AE43" i="1"/>
  <c r="L44" i="1"/>
  <c r="M44" i="1"/>
  <c r="P44" i="1"/>
  <c r="Q44" i="1"/>
  <c r="T44" i="1"/>
  <c r="U44" i="1"/>
  <c r="X44" i="1"/>
  <c r="Y44" i="1"/>
  <c r="AB44" i="1"/>
  <c r="AC44" i="1"/>
  <c r="AD44" i="1"/>
  <c r="AE44" i="1"/>
  <c r="L45" i="1"/>
  <c r="M45" i="1"/>
  <c r="P45" i="1"/>
  <c r="Q45" i="1"/>
  <c r="T45" i="1"/>
  <c r="U45" i="1"/>
  <c r="X45" i="1"/>
  <c r="Y45" i="1"/>
  <c r="AB45" i="1"/>
  <c r="AC45" i="1"/>
  <c r="AD45" i="1"/>
  <c r="AE45" i="1"/>
  <c r="L46" i="1"/>
  <c r="M46" i="1"/>
  <c r="P46" i="1"/>
  <c r="Q46" i="1"/>
  <c r="T46" i="1"/>
  <c r="U46" i="1"/>
  <c r="X46" i="1"/>
  <c r="Y46" i="1"/>
  <c r="AB46" i="1"/>
  <c r="AC46" i="1"/>
  <c r="AD46" i="1"/>
  <c r="AE46" i="1"/>
  <c r="L47" i="1"/>
  <c r="M47" i="1"/>
  <c r="P47" i="1"/>
  <c r="Q47" i="1"/>
  <c r="T47" i="1"/>
  <c r="U47" i="1"/>
  <c r="X47" i="1"/>
  <c r="Y47" i="1"/>
  <c r="AB47" i="1"/>
  <c r="AC47" i="1"/>
  <c r="AD47" i="1"/>
  <c r="AE47" i="1"/>
  <c r="L48" i="1"/>
  <c r="M48" i="1"/>
  <c r="P48" i="1"/>
  <c r="Q48" i="1"/>
  <c r="T48" i="1"/>
  <c r="U48" i="1"/>
  <c r="X48" i="1"/>
  <c r="Y48" i="1"/>
  <c r="AB48" i="1"/>
  <c r="AC48" i="1"/>
  <c r="AD48" i="1"/>
  <c r="AE48" i="1"/>
  <c r="L49" i="1"/>
  <c r="M49" i="1"/>
  <c r="P49" i="1"/>
  <c r="Q49" i="1"/>
  <c r="T49" i="1"/>
  <c r="U49" i="1"/>
  <c r="X49" i="1"/>
  <c r="Y49" i="1"/>
  <c r="AB49" i="1"/>
  <c r="AC49" i="1"/>
  <c r="AD49" i="1"/>
  <c r="AE49" i="1"/>
  <c r="L50" i="1"/>
  <c r="M50" i="1"/>
  <c r="P50" i="1"/>
  <c r="Q50" i="1"/>
  <c r="T50" i="1"/>
  <c r="U50" i="1"/>
  <c r="X50" i="1"/>
  <c r="Y50" i="1"/>
  <c r="AB50" i="1"/>
  <c r="AC50" i="1"/>
  <c r="AD50" i="1"/>
  <c r="AE50" i="1"/>
  <c r="L51" i="1"/>
  <c r="M51" i="1"/>
  <c r="P51" i="1"/>
  <c r="Q51" i="1"/>
  <c r="T51" i="1"/>
  <c r="U51" i="1"/>
  <c r="X51" i="1"/>
  <c r="Y51" i="1"/>
  <c r="AB51" i="1"/>
  <c r="AC51" i="1"/>
  <c r="AD51" i="1"/>
  <c r="AE51" i="1"/>
  <c r="L52" i="1"/>
  <c r="M52" i="1"/>
  <c r="P52" i="1"/>
  <c r="Q52" i="1"/>
  <c r="T52" i="1"/>
  <c r="U52" i="1"/>
  <c r="X52" i="1"/>
  <c r="Y52" i="1"/>
  <c r="AB52" i="1"/>
  <c r="AC52" i="1"/>
  <c r="AD52" i="1"/>
  <c r="AE52" i="1"/>
  <c r="L53" i="1"/>
  <c r="M53" i="1"/>
  <c r="P53" i="1"/>
  <c r="Q53" i="1"/>
  <c r="T53" i="1"/>
  <c r="U53" i="1"/>
  <c r="X53" i="1"/>
  <c r="Y53" i="1"/>
  <c r="AB53" i="1"/>
  <c r="AC53" i="1"/>
  <c r="AD53" i="1"/>
  <c r="AE53" i="1"/>
  <c r="L54" i="1"/>
  <c r="M54" i="1"/>
  <c r="P54" i="1"/>
  <c r="Q54" i="1"/>
  <c r="T54" i="1"/>
  <c r="U54" i="1"/>
  <c r="X54" i="1"/>
  <c r="Y54" i="1"/>
  <c r="AB54" i="1"/>
  <c r="AC54" i="1"/>
  <c r="AD54" i="1"/>
  <c r="AE54" i="1"/>
  <c r="L55" i="1"/>
  <c r="M55" i="1"/>
  <c r="P55" i="1"/>
  <c r="Q55" i="1"/>
  <c r="T55" i="1"/>
  <c r="U55" i="1"/>
  <c r="X55" i="1"/>
  <c r="Y55" i="1"/>
  <c r="AB55" i="1"/>
  <c r="AC55" i="1"/>
  <c r="AD55" i="1"/>
  <c r="AE55" i="1"/>
  <c r="L56" i="1"/>
  <c r="M56" i="1"/>
  <c r="P56" i="1"/>
  <c r="Q56" i="1"/>
  <c r="T56" i="1"/>
  <c r="U56" i="1"/>
  <c r="X56" i="1"/>
  <c r="Y56" i="1"/>
  <c r="AB56" i="1"/>
  <c r="AC56" i="1"/>
  <c r="AD56" i="1"/>
  <c r="AE56" i="1"/>
  <c r="L57" i="1"/>
  <c r="M57" i="1"/>
  <c r="P57" i="1"/>
  <c r="Q57" i="1"/>
  <c r="T57" i="1"/>
  <c r="U57" i="1"/>
  <c r="X57" i="1"/>
  <c r="Y57" i="1"/>
  <c r="AB57" i="1"/>
  <c r="AC57" i="1"/>
  <c r="AD57" i="1"/>
  <c r="AE57" i="1"/>
  <c r="L58" i="1"/>
  <c r="M58" i="1"/>
  <c r="P58" i="1"/>
  <c r="Q58" i="1"/>
  <c r="T58" i="1"/>
  <c r="U58" i="1"/>
  <c r="X58" i="1"/>
  <c r="Y58" i="1"/>
  <c r="AB58" i="1"/>
  <c r="AC58" i="1"/>
  <c r="AD58" i="1"/>
  <c r="AE58" i="1"/>
  <c r="L59" i="1"/>
  <c r="M59" i="1"/>
  <c r="P59" i="1"/>
  <c r="Q59" i="1"/>
  <c r="T59" i="1"/>
  <c r="U59" i="1"/>
  <c r="X59" i="1"/>
  <c r="Y59" i="1"/>
  <c r="AB59" i="1"/>
  <c r="AC59" i="1"/>
  <c r="AD59" i="1"/>
  <c r="AE59" i="1"/>
  <c r="L60" i="1"/>
  <c r="M60" i="1"/>
  <c r="P60" i="1"/>
  <c r="Q60" i="1"/>
  <c r="T60" i="1"/>
  <c r="U60" i="1"/>
  <c r="X60" i="1"/>
  <c r="Y60" i="1"/>
  <c r="AB60" i="1"/>
  <c r="AC60" i="1"/>
  <c r="AD60" i="1"/>
  <c r="AE60" i="1"/>
  <c r="L61" i="1"/>
  <c r="M61" i="1"/>
  <c r="P61" i="1"/>
  <c r="Q61" i="1"/>
  <c r="T61" i="1"/>
  <c r="U61" i="1"/>
  <c r="X61" i="1"/>
  <c r="Y61" i="1"/>
  <c r="AB61" i="1"/>
  <c r="AC61" i="1"/>
  <c r="AD61" i="1"/>
  <c r="AE61" i="1"/>
  <c r="L62" i="1"/>
  <c r="M62" i="1"/>
  <c r="P62" i="1"/>
  <c r="Q62" i="1"/>
  <c r="T62" i="1"/>
  <c r="U62" i="1"/>
  <c r="X62" i="1"/>
  <c r="Y62" i="1"/>
  <c r="AB62" i="1"/>
  <c r="AC62" i="1"/>
  <c r="AD62" i="1"/>
  <c r="AE62" i="1"/>
  <c r="L63" i="1"/>
  <c r="M63" i="1"/>
  <c r="P63" i="1"/>
  <c r="Q63" i="1"/>
  <c r="T63" i="1"/>
  <c r="U63" i="1"/>
  <c r="X63" i="1"/>
  <c r="Y63" i="1"/>
  <c r="AB63" i="1"/>
  <c r="AC63" i="1"/>
  <c r="AD63" i="1"/>
  <c r="AE63" i="1"/>
  <c r="L64" i="1"/>
  <c r="M64" i="1"/>
  <c r="P64" i="1"/>
  <c r="Q64" i="1"/>
  <c r="T64" i="1"/>
  <c r="U64" i="1"/>
  <c r="X64" i="1"/>
  <c r="Y64" i="1"/>
  <c r="AB64" i="1"/>
  <c r="AC64" i="1"/>
  <c r="AD64" i="1"/>
  <c r="AE64" i="1"/>
  <c r="L65" i="1"/>
  <c r="M65" i="1"/>
  <c r="P65" i="1"/>
  <c r="Q65" i="1"/>
  <c r="T65" i="1"/>
  <c r="U65" i="1"/>
  <c r="X65" i="1"/>
  <c r="Y65" i="1"/>
  <c r="AB65" i="1"/>
  <c r="AC65" i="1"/>
  <c r="AD65" i="1"/>
  <c r="AE65" i="1"/>
  <c r="L66" i="1"/>
  <c r="M66" i="1"/>
  <c r="P66" i="1"/>
  <c r="Q66" i="1"/>
  <c r="T66" i="1"/>
  <c r="U66" i="1"/>
  <c r="X66" i="1"/>
  <c r="Y66" i="1"/>
  <c r="AB66" i="1"/>
  <c r="AC66" i="1"/>
  <c r="AD66" i="1"/>
  <c r="AE66" i="1"/>
  <c r="L67" i="1"/>
  <c r="M67" i="1"/>
  <c r="P67" i="1"/>
  <c r="Q67" i="1"/>
  <c r="T67" i="1"/>
  <c r="U67" i="1"/>
  <c r="X67" i="1"/>
  <c r="Y67" i="1"/>
  <c r="AB67" i="1"/>
  <c r="AC67" i="1"/>
  <c r="AD67" i="1"/>
  <c r="AE67" i="1"/>
  <c r="L68" i="1"/>
  <c r="M68" i="1"/>
  <c r="P68" i="1"/>
  <c r="Q68" i="1"/>
  <c r="T68" i="1"/>
  <c r="U68" i="1"/>
  <c r="X68" i="1"/>
  <c r="Y68" i="1"/>
  <c r="AB68" i="1"/>
  <c r="AC68" i="1"/>
  <c r="AD68" i="1"/>
  <c r="AE68" i="1"/>
  <c r="L69" i="1"/>
  <c r="M69" i="1"/>
  <c r="P69" i="1"/>
  <c r="Q69" i="1"/>
  <c r="T69" i="1"/>
  <c r="U69" i="1"/>
  <c r="X69" i="1"/>
  <c r="Y69" i="1"/>
  <c r="AB69" i="1"/>
  <c r="AC69" i="1"/>
  <c r="AD69" i="1"/>
  <c r="AE69" i="1"/>
  <c r="L70" i="1"/>
  <c r="M70" i="1"/>
  <c r="P70" i="1"/>
  <c r="Q70" i="1"/>
  <c r="T70" i="1"/>
  <c r="U70" i="1"/>
  <c r="X70" i="1"/>
  <c r="Y70" i="1"/>
  <c r="AB70" i="1"/>
  <c r="AC70" i="1"/>
  <c r="AD70" i="1"/>
  <c r="AE70" i="1"/>
  <c r="L71" i="1"/>
  <c r="M71" i="1"/>
  <c r="P71" i="1"/>
  <c r="Q71" i="1"/>
  <c r="T71" i="1"/>
  <c r="U71" i="1"/>
  <c r="X71" i="1"/>
  <c r="Y71" i="1"/>
  <c r="AB71" i="1"/>
  <c r="AC71" i="1"/>
  <c r="AD71" i="1"/>
  <c r="AE71" i="1"/>
  <c r="L72" i="1"/>
  <c r="M72" i="1"/>
  <c r="P72" i="1"/>
  <c r="Q72" i="1"/>
  <c r="T72" i="1"/>
  <c r="U72" i="1"/>
  <c r="X72" i="1"/>
  <c r="Y72" i="1"/>
  <c r="AB72" i="1"/>
  <c r="AC72" i="1"/>
  <c r="AD72" i="1"/>
  <c r="AE72" i="1"/>
  <c r="L73" i="1"/>
  <c r="M73" i="1"/>
  <c r="P73" i="1"/>
  <c r="Q73" i="1"/>
  <c r="T73" i="1"/>
  <c r="U73" i="1"/>
  <c r="X73" i="1"/>
  <c r="Y73" i="1"/>
  <c r="AB73" i="1"/>
  <c r="AC73" i="1"/>
  <c r="AD73" i="1"/>
  <c r="AE73" i="1"/>
  <c r="L74" i="1"/>
  <c r="M74" i="1"/>
  <c r="P74" i="1"/>
  <c r="Q74" i="1"/>
  <c r="T74" i="1"/>
  <c r="U74" i="1"/>
  <c r="X74" i="1"/>
  <c r="Y74" i="1"/>
  <c r="AB74" i="1"/>
  <c r="AC74" i="1"/>
  <c r="AD74" i="1"/>
  <c r="AE74" i="1"/>
  <c r="L75" i="1"/>
  <c r="M75" i="1"/>
  <c r="P75" i="1"/>
  <c r="Q75" i="1"/>
  <c r="T75" i="1"/>
  <c r="U75" i="1"/>
  <c r="X75" i="1"/>
  <c r="Y75" i="1"/>
  <c r="AB75" i="1"/>
  <c r="AC75" i="1"/>
  <c r="AD75" i="1"/>
  <c r="AE75" i="1"/>
  <c r="L76" i="1"/>
  <c r="M76" i="1"/>
  <c r="P76" i="1"/>
  <c r="Q76" i="1"/>
  <c r="T76" i="1"/>
  <c r="U76" i="1"/>
  <c r="X76" i="1"/>
  <c r="Y76" i="1"/>
  <c r="AB76" i="1"/>
  <c r="AC76" i="1"/>
  <c r="AD76" i="1"/>
  <c r="AE76" i="1"/>
  <c r="L77" i="1"/>
  <c r="M77" i="1"/>
  <c r="P77" i="1"/>
  <c r="Q77" i="1"/>
  <c r="T77" i="1"/>
  <c r="U77" i="1"/>
  <c r="X77" i="1"/>
  <c r="Y77" i="1"/>
  <c r="AB77" i="1"/>
  <c r="AC77" i="1"/>
  <c r="AD77" i="1"/>
  <c r="AE77" i="1"/>
  <c r="L78" i="1"/>
  <c r="M78" i="1"/>
  <c r="P78" i="1"/>
  <c r="Q78" i="1"/>
  <c r="T78" i="1"/>
  <c r="U78" i="1"/>
  <c r="X78" i="1"/>
  <c r="Y78" i="1"/>
  <c r="AB78" i="1"/>
  <c r="AC78" i="1"/>
  <c r="AD78" i="1"/>
  <c r="AE78" i="1"/>
  <c r="L79" i="1"/>
  <c r="M79" i="1"/>
  <c r="P79" i="1"/>
  <c r="Q79" i="1"/>
  <c r="T79" i="1"/>
  <c r="U79" i="1"/>
  <c r="X79" i="1"/>
  <c r="Y79" i="1"/>
  <c r="AB79" i="1"/>
  <c r="AC79" i="1"/>
  <c r="AD79" i="1"/>
  <c r="AE79" i="1"/>
  <c r="L80" i="1"/>
  <c r="M80" i="1"/>
  <c r="P80" i="1"/>
  <c r="Q80" i="1"/>
  <c r="T80" i="1"/>
  <c r="U80" i="1"/>
  <c r="X80" i="1"/>
  <c r="Y80" i="1"/>
  <c r="AB80" i="1"/>
  <c r="AC80" i="1"/>
  <c r="AD80" i="1"/>
  <c r="AE80" i="1"/>
  <c r="L81" i="1"/>
  <c r="M81" i="1"/>
  <c r="P81" i="1"/>
  <c r="Q81" i="1"/>
  <c r="T81" i="1"/>
  <c r="U81" i="1"/>
  <c r="X81" i="1"/>
  <c r="Y81" i="1"/>
  <c r="AB81" i="1"/>
  <c r="AC81" i="1"/>
  <c r="AD81" i="1"/>
  <c r="AE81" i="1"/>
  <c r="L82" i="1"/>
  <c r="M82" i="1"/>
  <c r="P82" i="1"/>
  <c r="Q82" i="1"/>
  <c r="T82" i="1"/>
  <c r="U82" i="1"/>
  <c r="X82" i="1"/>
  <c r="Y82" i="1"/>
  <c r="AB82" i="1"/>
  <c r="AC82" i="1"/>
  <c r="AD82" i="1"/>
  <c r="AE82" i="1"/>
  <c r="L83" i="1"/>
  <c r="M83" i="1"/>
  <c r="P83" i="1"/>
  <c r="Q83" i="1"/>
  <c r="T83" i="1"/>
  <c r="U83" i="1"/>
  <c r="X83" i="1"/>
  <c r="Y83" i="1"/>
  <c r="AB83" i="1"/>
  <c r="AC83" i="1"/>
  <c r="AD83" i="1"/>
  <c r="AE83" i="1"/>
  <c r="L84" i="1"/>
  <c r="M84" i="1"/>
  <c r="P84" i="1"/>
  <c r="Q84" i="1"/>
  <c r="T84" i="1"/>
  <c r="U84" i="1"/>
  <c r="X84" i="1"/>
  <c r="Y84" i="1"/>
  <c r="AB84" i="1"/>
  <c r="AC84" i="1"/>
  <c r="AD84" i="1"/>
  <c r="AE84" i="1"/>
  <c r="L85" i="1"/>
  <c r="M85" i="1"/>
  <c r="P85" i="1"/>
  <c r="Q85" i="1"/>
  <c r="T85" i="1"/>
  <c r="U85" i="1"/>
  <c r="X85" i="1"/>
  <c r="Y85" i="1"/>
  <c r="AB85" i="1"/>
  <c r="AC85" i="1"/>
  <c r="AD85" i="1"/>
  <c r="AE85" i="1"/>
  <c r="L86" i="1"/>
  <c r="M86" i="1"/>
  <c r="P86" i="1"/>
  <c r="Q86" i="1"/>
  <c r="T86" i="1"/>
  <c r="U86" i="1"/>
  <c r="X86" i="1"/>
  <c r="Y86" i="1"/>
  <c r="AB86" i="1"/>
  <c r="AC86" i="1"/>
  <c r="AD86" i="1"/>
  <c r="AE86" i="1"/>
  <c r="L87" i="1"/>
  <c r="M87" i="1"/>
  <c r="P87" i="1"/>
  <c r="Q87" i="1"/>
  <c r="T87" i="1"/>
  <c r="U87" i="1"/>
  <c r="X87" i="1"/>
  <c r="Y87" i="1"/>
  <c r="AB87" i="1"/>
  <c r="AC87" i="1"/>
  <c r="AD87" i="1"/>
  <c r="AE87" i="1"/>
  <c r="L88" i="1"/>
  <c r="M88" i="1"/>
  <c r="P88" i="1"/>
  <c r="Q88" i="1"/>
  <c r="T88" i="1"/>
  <c r="U88" i="1"/>
  <c r="X88" i="1"/>
  <c r="Y88" i="1"/>
  <c r="AB88" i="1"/>
  <c r="AC88" i="1"/>
  <c r="AD88" i="1"/>
  <c r="AE88" i="1"/>
  <c r="L89" i="1"/>
  <c r="M89" i="1"/>
  <c r="P89" i="1"/>
  <c r="Q89" i="1"/>
  <c r="T89" i="1"/>
  <c r="U89" i="1"/>
  <c r="X89" i="1"/>
  <c r="Y89" i="1"/>
  <c r="AB89" i="1"/>
  <c r="AC89" i="1"/>
  <c r="AD89" i="1"/>
  <c r="AE89" i="1"/>
  <c r="L90" i="1"/>
  <c r="M90" i="1"/>
  <c r="P90" i="1"/>
  <c r="Q90" i="1"/>
  <c r="T90" i="1"/>
  <c r="U90" i="1"/>
  <c r="X90" i="1"/>
  <c r="Y90" i="1"/>
  <c r="AB90" i="1"/>
  <c r="AC90" i="1"/>
  <c r="AD90" i="1"/>
  <c r="AE90" i="1"/>
  <c r="L91" i="1"/>
  <c r="M91" i="1"/>
  <c r="P91" i="1"/>
  <c r="Q91" i="1"/>
  <c r="T91" i="1"/>
  <c r="U91" i="1"/>
  <c r="X91" i="1"/>
  <c r="Y91" i="1"/>
  <c r="AB91" i="1"/>
  <c r="AC91" i="1"/>
  <c r="AD91" i="1"/>
  <c r="AE91" i="1"/>
  <c r="L92" i="1"/>
  <c r="M92" i="1"/>
  <c r="P92" i="1"/>
  <c r="Q92" i="1"/>
  <c r="T92" i="1"/>
  <c r="U92" i="1"/>
  <c r="X92" i="1"/>
  <c r="Y92" i="1"/>
  <c r="AB92" i="1"/>
  <c r="AC92" i="1"/>
  <c r="AD92" i="1"/>
  <c r="AE92" i="1"/>
  <c r="L93" i="1"/>
  <c r="M93" i="1"/>
  <c r="P93" i="1"/>
  <c r="Q93" i="1"/>
  <c r="T93" i="1"/>
  <c r="U93" i="1"/>
  <c r="X93" i="1"/>
  <c r="Y93" i="1"/>
  <c r="AB93" i="1"/>
  <c r="AC93" i="1"/>
  <c r="AD93" i="1"/>
  <c r="AE93" i="1"/>
  <c r="L94" i="1"/>
  <c r="M94" i="1"/>
  <c r="P94" i="1"/>
  <c r="Q94" i="1"/>
  <c r="T94" i="1"/>
  <c r="U94" i="1"/>
  <c r="X94" i="1"/>
  <c r="Y94" i="1"/>
  <c r="AB94" i="1"/>
  <c r="AC94" i="1"/>
  <c r="AD94" i="1"/>
  <c r="AE94" i="1"/>
  <c r="L95" i="1"/>
  <c r="M95" i="1"/>
  <c r="P95" i="1"/>
  <c r="Q95" i="1"/>
  <c r="T95" i="1"/>
  <c r="U95" i="1"/>
  <c r="X95" i="1"/>
  <c r="Y95" i="1"/>
  <c r="AB95" i="1"/>
  <c r="AC95" i="1"/>
  <c r="AD95" i="1"/>
  <c r="AE95" i="1"/>
  <c r="L96" i="1"/>
  <c r="M96" i="1"/>
  <c r="P96" i="1"/>
  <c r="Q96" i="1"/>
  <c r="T96" i="1"/>
  <c r="U96" i="1"/>
  <c r="X96" i="1"/>
  <c r="Y96" i="1"/>
  <c r="AB96" i="1"/>
  <c r="AC96" i="1"/>
  <c r="AD96" i="1"/>
  <c r="AE96" i="1"/>
  <c r="L97" i="1"/>
  <c r="M97" i="1"/>
  <c r="P97" i="1"/>
  <c r="Q97" i="1"/>
  <c r="T97" i="1"/>
  <c r="U97" i="1"/>
  <c r="X97" i="1"/>
  <c r="Y97" i="1"/>
  <c r="AB97" i="1"/>
  <c r="AC97" i="1"/>
  <c r="AD97" i="1"/>
  <c r="AE97" i="1"/>
  <c r="L98" i="1"/>
  <c r="M98" i="1"/>
  <c r="P98" i="1"/>
  <c r="Q98" i="1"/>
  <c r="T98" i="1"/>
  <c r="U98" i="1"/>
  <c r="X98" i="1"/>
  <c r="Y98" i="1"/>
  <c r="AB98" i="1"/>
  <c r="AC98" i="1"/>
  <c r="AD98" i="1"/>
  <c r="AE98" i="1"/>
  <c r="L99" i="1"/>
  <c r="M99" i="1"/>
  <c r="P99" i="1"/>
  <c r="Q99" i="1"/>
  <c r="T99" i="1"/>
  <c r="U99" i="1"/>
  <c r="X99" i="1"/>
  <c r="Y99" i="1"/>
  <c r="AB99" i="1"/>
  <c r="AC99" i="1"/>
  <c r="AD99" i="1"/>
  <c r="AE99" i="1"/>
  <c r="L100" i="1"/>
  <c r="M100" i="1"/>
  <c r="P100" i="1"/>
  <c r="Q100" i="1"/>
  <c r="T100" i="1"/>
  <c r="U100" i="1"/>
  <c r="X100" i="1"/>
  <c r="Y100" i="1"/>
  <c r="AB100" i="1"/>
  <c r="AC100" i="1"/>
  <c r="AD100" i="1"/>
  <c r="AE100" i="1"/>
  <c r="L101" i="1"/>
  <c r="M101" i="1"/>
  <c r="P101" i="1"/>
  <c r="Q101" i="1"/>
  <c r="T101" i="1"/>
  <c r="U101" i="1"/>
  <c r="X101" i="1"/>
  <c r="Y101" i="1"/>
  <c r="AB101" i="1"/>
  <c r="AC101" i="1"/>
  <c r="AD101" i="1"/>
  <c r="AE101" i="1"/>
  <c r="L102" i="1"/>
  <c r="M102" i="1"/>
  <c r="P102" i="1"/>
  <c r="Q102" i="1"/>
  <c r="T102" i="1"/>
  <c r="U102" i="1"/>
  <c r="X102" i="1"/>
  <c r="Y102" i="1"/>
  <c r="AB102" i="1"/>
  <c r="AC102" i="1"/>
  <c r="AD102" i="1"/>
  <c r="AE102" i="1"/>
  <c r="L103" i="1"/>
  <c r="M103" i="1"/>
  <c r="P103" i="1"/>
  <c r="Q103" i="1"/>
  <c r="T103" i="1"/>
  <c r="U103" i="1"/>
  <c r="X103" i="1"/>
  <c r="Y103" i="1"/>
  <c r="AB103" i="1"/>
  <c r="AC103" i="1"/>
  <c r="AD103" i="1"/>
  <c r="AE103" i="1"/>
  <c r="L104" i="1"/>
  <c r="M104" i="1"/>
  <c r="P104" i="1"/>
  <c r="Q104" i="1"/>
  <c r="T104" i="1"/>
  <c r="U104" i="1"/>
  <c r="X104" i="1"/>
  <c r="Y104" i="1"/>
  <c r="AB104" i="1"/>
  <c r="AC104" i="1"/>
  <c r="AD104" i="1"/>
  <c r="AE104" i="1"/>
  <c r="L105" i="1"/>
  <c r="M105" i="1"/>
  <c r="P105" i="1"/>
  <c r="Q105" i="1"/>
  <c r="T105" i="1"/>
  <c r="U105" i="1"/>
  <c r="X105" i="1"/>
  <c r="Y105" i="1"/>
  <c r="AB105" i="1"/>
  <c r="AC105" i="1"/>
  <c r="AD105" i="1"/>
  <c r="AE105" i="1"/>
  <c r="L106" i="1"/>
  <c r="M106" i="1"/>
  <c r="P106" i="1"/>
  <c r="Q106" i="1"/>
  <c r="T106" i="1"/>
  <c r="U106" i="1"/>
  <c r="X106" i="1"/>
  <c r="Y106" i="1"/>
  <c r="AB106" i="1"/>
  <c r="AC106" i="1"/>
  <c r="AD106" i="1"/>
  <c r="AE106" i="1"/>
  <c r="L107" i="1"/>
  <c r="M107" i="1"/>
  <c r="P107" i="1"/>
  <c r="Q107" i="1"/>
  <c r="T107" i="1"/>
  <c r="U107" i="1"/>
  <c r="X107" i="1"/>
  <c r="Y107" i="1"/>
  <c r="AB107" i="1"/>
  <c r="AC107" i="1"/>
  <c r="AD107" i="1"/>
  <c r="AE107" i="1"/>
  <c r="L108" i="1"/>
  <c r="M108" i="1"/>
  <c r="P108" i="1"/>
  <c r="Q108" i="1"/>
  <c r="T108" i="1"/>
  <c r="U108" i="1"/>
  <c r="X108" i="1"/>
  <c r="Y108" i="1"/>
  <c r="AB108" i="1"/>
  <c r="AC108" i="1"/>
  <c r="AD108" i="1"/>
  <c r="AE108" i="1"/>
  <c r="L109" i="1"/>
  <c r="M109" i="1"/>
  <c r="P109" i="1"/>
  <c r="Q109" i="1"/>
  <c r="T109" i="1"/>
  <c r="U109" i="1"/>
  <c r="X109" i="1"/>
  <c r="Y109" i="1"/>
  <c r="AB109" i="1"/>
  <c r="AC109" i="1"/>
  <c r="AD109" i="1"/>
  <c r="AE109" i="1"/>
  <c r="L110" i="1"/>
  <c r="M110" i="1"/>
  <c r="P110" i="1"/>
  <c r="Q110" i="1"/>
  <c r="T110" i="1"/>
  <c r="U110" i="1"/>
  <c r="X110" i="1"/>
  <c r="Y110" i="1"/>
  <c r="AB110" i="1"/>
  <c r="AC110" i="1"/>
  <c r="AD110" i="1"/>
  <c r="AE110" i="1"/>
  <c r="L111" i="1"/>
  <c r="M111" i="1"/>
  <c r="P111" i="1"/>
  <c r="Q111" i="1"/>
  <c r="T111" i="1"/>
  <c r="U111" i="1"/>
  <c r="X111" i="1"/>
  <c r="Y111" i="1"/>
  <c r="AB111" i="1"/>
  <c r="AC111" i="1"/>
  <c r="AD111" i="1"/>
  <c r="AE111" i="1"/>
  <c r="L112" i="1"/>
  <c r="M112" i="1"/>
  <c r="P112" i="1"/>
  <c r="Q112" i="1"/>
  <c r="T112" i="1"/>
  <c r="U112" i="1"/>
  <c r="X112" i="1"/>
  <c r="Y112" i="1"/>
  <c r="AB112" i="1"/>
  <c r="AC112" i="1"/>
  <c r="AD112" i="1"/>
  <c r="AE112" i="1"/>
  <c r="L113" i="1"/>
  <c r="M113" i="1"/>
  <c r="P113" i="1"/>
  <c r="Q113" i="1"/>
  <c r="T113" i="1"/>
  <c r="U113" i="1"/>
  <c r="X113" i="1"/>
  <c r="Y113" i="1"/>
  <c r="AB113" i="1"/>
  <c r="AC113" i="1"/>
  <c r="AD113" i="1"/>
  <c r="AE113" i="1"/>
  <c r="L114" i="1"/>
  <c r="M114" i="1"/>
  <c r="P114" i="1"/>
  <c r="Q114" i="1"/>
  <c r="T114" i="1"/>
  <c r="U114" i="1"/>
  <c r="X114" i="1"/>
  <c r="Y114" i="1"/>
  <c r="AB114" i="1"/>
  <c r="AC114" i="1"/>
  <c r="AD114" i="1"/>
  <c r="AE114" i="1"/>
  <c r="L115" i="1"/>
  <c r="M115" i="1"/>
  <c r="P115" i="1"/>
  <c r="Q115" i="1"/>
  <c r="T115" i="1"/>
  <c r="U115" i="1"/>
  <c r="X115" i="1"/>
  <c r="Y115" i="1"/>
  <c r="AB115" i="1"/>
  <c r="AC115" i="1"/>
  <c r="AD115" i="1"/>
  <c r="AE115" i="1"/>
  <c r="L116" i="1"/>
  <c r="M116" i="1"/>
  <c r="P116" i="1"/>
  <c r="Q116" i="1"/>
  <c r="T116" i="1"/>
  <c r="U116" i="1"/>
  <c r="X116" i="1"/>
  <c r="Y116" i="1"/>
  <c r="AB116" i="1"/>
  <c r="AC116" i="1"/>
  <c r="AD116" i="1"/>
  <c r="AE116" i="1"/>
  <c r="L117" i="1"/>
  <c r="M117" i="1"/>
  <c r="P117" i="1"/>
  <c r="Q117" i="1"/>
  <c r="T117" i="1"/>
  <c r="U117" i="1"/>
  <c r="X117" i="1"/>
  <c r="Y117" i="1"/>
  <c r="AB117" i="1"/>
  <c r="AC117" i="1"/>
  <c r="AD117" i="1"/>
  <c r="AE117" i="1"/>
  <c r="L118" i="1"/>
  <c r="M118" i="1"/>
  <c r="P118" i="1"/>
  <c r="Q118" i="1"/>
  <c r="T118" i="1"/>
  <c r="U118" i="1"/>
  <c r="X118" i="1"/>
  <c r="Y118" i="1"/>
  <c r="AB118" i="1"/>
  <c r="AC118" i="1"/>
  <c r="AD118" i="1"/>
  <c r="AE118" i="1"/>
  <c r="L119" i="1"/>
  <c r="M119" i="1"/>
  <c r="P119" i="1"/>
  <c r="Q119" i="1"/>
  <c r="T119" i="1"/>
  <c r="U119" i="1"/>
  <c r="X119" i="1"/>
  <c r="Y119" i="1"/>
  <c r="AB119" i="1"/>
  <c r="AC119" i="1"/>
  <c r="AD119" i="1"/>
  <c r="AE119" i="1"/>
  <c r="L120" i="1"/>
  <c r="M120" i="1"/>
  <c r="P120" i="1"/>
  <c r="Q120" i="1"/>
  <c r="T120" i="1"/>
  <c r="U120" i="1"/>
  <c r="X120" i="1"/>
  <c r="Y120" i="1"/>
  <c r="AB120" i="1"/>
  <c r="AC120" i="1"/>
  <c r="AD120" i="1"/>
  <c r="AE120" i="1"/>
  <c r="L121" i="1"/>
  <c r="M121" i="1"/>
  <c r="P121" i="1"/>
  <c r="Q121" i="1"/>
  <c r="T121" i="1"/>
  <c r="U121" i="1"/>
  <c r="X121" i="1"/>
  <c r="Y121" i="1"/>
  <c r="AB121" i="1"/>
  <c r="AC121" i="1"/>
  <c r="AD121" i="1"/>
  <c r="AE121" i="1"/>
  <c r="L122" i="1"/>
  <c r="M122" i="1"/>
  <c r="P122" i="1"/>
  <c r="Q122" i="1"/>
  <c r="T122" i="1"/>
  <c r="U122" i="1"/>
  <c r="X122" i="1"/>
  <c r="Y122" i="1"/>
  <c r="AB122" i="1"/>
  <c r="AC122" i="1"/>
  <c r="AD122" i="1"/>
  <c r="AE122" i="1"/>
  <c r="L123" i="1"/>
  <c r="M123" i="1"/>
  <c r="P123" i="1"/>
  <c r="Q123" i="1"/>
  <c r="T123" i="1"/>
  <c r="U123" i="1"/>
  <c r="X123" i="1"/>
  <c r="Y123" i="1"/>
  <c r="AB123" i="1"/>
  <c r="AC123" i="1"/>
  <c r="AD123" i="1"/>
  <c r="AE123" i="1"/>
  <c r="L124" i="1"/>
  <c r="M124" i="1"/>
  <c r="P124" i="1"/>
  <c r="Q124" i="1"/>
  <c r="T124" i="1"/>
  <c r="U124" i="1"/>
  <c r="X124" i="1"/>
  <c r="Y124" i="1"/>
  <c r="AB124" i="1"/>
  <c r="AC124" i="1"/>
  <c r="AD124" i="1"/>
  <c r="AE124" i="1"/>
  <c r="L125" i="1"/>
  <c r="M125" i="1"/>
  <c r="P125" i="1"/>
  <c r="Q125" i="1"/>
  <c r="T125" i="1"/>
  <c r="U125" i="1"/>
  <c r="X125" i="1"/>
  <c r="Y125" i="1"/>
  <c r="AB125" i="1"/>
  <c r="AC125" i="1"/>
  <c r="AD125" i="1"/>
  <c r="AE125" i="1"/>
  <c r="L126" i="1"/>
  <c r="M126" i="1"/>
  <c r="P126" i="1"/>
  <c r="Q126" i="1"/>
  <c r="T126" i="1"/>
  <c r="U126" i="1"/>
  <c r="X126" i="1"/>
  <c r="Y126" i="1"/>
  <c r="AB126" i="1"/>
  <c r="AC126" i="1"/>
  <c r="AD126" i="1"/>
  <c r="AE126" i="1"/>
  <c r="L127" i="1"/>
  <c r="M127" i="1"/>
  <c r="P127" i="1"/>
  <c r="Q127" i="1"/>
  <c r="T127" i="1"/>
  <c r="U127" i="1"/>
  <c r="X127" i="1"/>
  <c r="Y127" i="1"/>
  <c r="AB127" i="1"/>
  <c r="AC127" i="1"/>
  <c r="AD127" i="1"/>
  <c r="AE127" i="1"/>
  <c r="L128" i="1"/>
  <c r="M128" i="1"/>
  <c r="P128" i="1"/>
  <c r="Q128" i="1"/>
  <c r="T128" i="1"/>
  <c r="U128" i="1"/>
  <c r="X128" i="1"/>
  <c r="Y128" i="1"/>
  <c r="AB128" i="1"/>
  <c r="AC128" i="1"/>
  <c r="AD128" i="1"/>
  <c r="AE128" i="1"/>
  <c r="L129" i="1"/>
  <c r="M129" i="1"/>
  <c r="P129" i="1"/>
  <c r="Q129" i="1"/>
  <c r="T129" i="1"/>
  <c r="U129" i="1"/>
  <c r="X129" i="1"/>
  <c r="Y129" i="1"/>
  <c r="AB129" i="1"/>
  <c r="AC129" i="1"/>
  <c r="AD129" i="1"/>
  <c r="AE129" i="1"/>
  <c r="L130" i="1"/>
  <c r="M130" i="1"/>
  <c r="P130" i="1"/>
  <c r="Q130" i="1"/>
  <c r="T130" i="1"/>
  <c r="U130" i="1"/>
  <c r="X130" i="1"/>
  <c r="Y130" i="1"/>
  <c r="AB130" i="1"/>
  <c r="AC130" i="1"/>
  <c r="AD130" i="1"/>
  <c r="AE130" i="1"/>
  <c r="L131" i="1"/>
  <c r="M131" i="1"/>
  <c r="P131" i="1"/>
  <c r="Q131" i="1"/>
  <c r="T131" i="1"/>
  <c r="U131" i="1"/>
  <c r="X131" i="1"/>
  <c r="Y131" i="1"/>
  <c r="AB131" i="1"/>
  <c r="AC131" i="1"/>
  <c r="AD131" i="1"/>
  <c r="AE131" i="1"/>
  <c r="L132" i="1"/>
  <c r="M132" i="1"/>
  <c r="P132" i="1"/>
  <c r="Q132" i="1"/>
  <c r="T132" i="1"/>
  <c r="U132" i="1"/>
  <c r="X132" i="1"/>
  <c r="Y132" i="1"/>
  <c r="AB132" i="1"/>
  <c r="AC132" i="1"/>
  <c r="AD132" i="1"/>
  <c r="AE132" i="1"/>
  <c r="AG47" i="1" l="1"/>
  <c r="AG17" i="1"/>
  <c r="AG44" i="1"/>
  <c r="AG42" i="1"/>
  <c r="AG28" i="1"/>
  <c r="AF95" i="1"/>
  <c r="AG51" i="1"/>
  <c r="AG49" i="1"/>
  <c r="AG11" i="1"/>
  <c r="AF70" i="1"/>
  <c r="AF128" i="1"/>
  <c r="AG120" i="1"/>
  <c r="AG70" i="1"/>
  <c r="AG29" i="1"/>
  <c r="AG105" i="1"/>
  <c r="AG77" i="1"/>
  <c r="AG73" i="1"/>
  <c r="AG126" i="1"/>
  <c r="AG58" i="1"/>
  <c r="AG20" i="1"/>
  <c r="AG128" i="1"/>
  <c r="AG63" i="1"/>
  <c r="AF86" i="1"/>
  <c r="AG86" i="1"/>
  <c r="AF58" i="1"/>
  <c r="L3" i="5"/>
  <c r="R3" i="5"/>
  <c r="M3" i="5"/>
  <c r="U3" i="5"/>
  <c r="N3" i="5"/>
  <c r="S3" i="5"/>
  <c r="O3" i="5"/>
  <c r="T3" i="5"/>
  <c r="AG18" i="1"/>
  <c r="AG110" i="1"/>
  <c r="AG125" i="1"/>
  <c r="AF110" i="1"/>
  <c r="AF120" i="1"/>
  <c r="AG15" i="1"/>
  <c r="AG19" i="1"/>
  <c r="AF119" i="1"/>
  <c r="AF42" i="1"/>
  <c r="AG109" i="1"/>
  <c r="AG119" i="1"/>
  <c r="AG12" i="1"/>
  <c r="AF17" i="1"/>
  <c r="AG21" i="1"/>
  <c r="AG43" i="1"/>
  <c r="AF28" i="1"/>
  <c r="AG127" i="1"/>
  <c r="AG23" i="1"/>
  <c r="AF125" i="1"/>
  <c r="AG118" i="1"/>
  <c r="AF109" i="1"/>
  <c r="AG27" i="1"/>
  <c r="AF18" i="1"/>
  <c r="AF41" i="1"/>
  <c r="AG121" i="1"/>
  <c r="AG122" i="1"/>
  <c r="AG132" i="1"/>
  <c r="AF37" i="1"/>
  <c r="AF44" i="1"/>
  <c r="AG48" i="1"/>
  <c r="AF19" i="1"/>
  <c r="AF23" i="1"/>
  <c r="AF31" i="1"/>
  <c r="AG37" i="1"/>
  <c r="AF12" i="1"/>
  <c r="AF21" i="1"/>
  <c r="AG34" i="1"/>
  <c r="AF15" i="1"/>
  <c r="AG41" i="1"/>
  <c r="AG46" i="1"/>
  <c r="AF47" i="1"/>
  <c r="AG116" i="1"/>
  <c r="AG124" i="1"/>
  <c r="AF11" i="1"/>
  <c r="AG13" i="1"/>
  <c r="AG22" i="1"/>
  <c r="AF118" i="1"/>
  <c r="AG117" i="1"/>
  <c r="AG39" i="1"/>
  <c r="AF48" i="1"/>
  <c r="AG111" i="1"/>
  <c r="AG113" i="1"/>
  <c r="AF124" i="1"/>
  <c r="AG32" i="1"/>
  <c r="AF34" i="1"/>
  <c r="AG35" i="1"/>
  <c r="AF121" i="1"/>
  <c r="AF127" i="1"/>
  <c r="AF129" i="1"/>
  <c r="AF39" i="1"/>
  <c r="AF111" i="1"/>
  <c r="AF27" i="1"/>
  <c r="AF35" i="1"/>
  <c r="AF113" i="1"/>
  <c r="AF126" i="1"/>
  <c r="AG129" i="1"/>
  <c r="AG130" i="1"/>
  <c r="AG14" i="1"/>
  <c r="AG24" i="1"/>
  <c r="AG26" i="1"/>
  <c r="AG45" i="1"/>
  <c r="AG38" i="1"/>
  <c r="AG40" i="1"/>
  <c r="AG114" i="1"/>
  <c r="AF132" i="1"/>
  <c r="AF14" i="1"/>
  <c r="AF26" i="1"/>
  <c r="AF43" i="1"/>
  <c r="AF45" i="1"/>
  <c r="AF46" i="1"/>
  <c r="AF122" i="1"/>
  <c r="AF38" i="1"/>
  <c r="AF40" i="1"/>
  <c r="AF22" i="1"/>
  <c r="AF29" i="1"/>
  <c r="AG31" i="1"/>
  <c r="Q9" i="1"/>
  <c r="Y9" i="1"/>
  <c r="AF13" i="1"/>
  <c r="AF20" i="1"/>
  <c r="AG25" i="1"/>
  <c r="AG30" i="1"/>
  <c r="AF49" i="1"/>
  <c r="AG50" i="1"/>
  <c r="AF51" i="1"/>
  <c r="AF54" i="1"/>
  <c r="AF55" i="1"/>
  <c r="AF61" i="1"/>
  <c r="AF66" i="1"/>
  <c r="AF74" i="1"/>
  <c r="AF81" i="1"/>
  <c r="AG87" i="1"/>
  <c r="AF88" i="1"/>
  <c r="AG95" i="1"/>
  <c r="AF98" i="1"/>
  <c r="AF99" i="1"/>
  <c r="AF103" i="1"/>
  <c r="AF53" i="1"/>
  <c r="AG56" i="1"/>
  <c r="AF60" i="1"/>
  <c r="AG76" i="1"/>
  <c r="AF78" i="1"/>
  <c r="AG80" i="1"/>
  <c r="AG84" i="1"/>
  <c r="AG85" i="1"/>
  <c r="AF87" i="1"/>
  <c r="AG91" i="1"/>
  <c r="AG93" i="1"/>
  <c r="AG96" i="1"/>
  <c r="AF100" i="1"/>
  <c r="AG101" i="1"/>
  <c r="AG104" i="1"/>
  <c r="AG52" i="1"/>
  <c r="AF57" i="1"/>
  <c r="AG59" i="1"/>
  <c r="AG60" i="1"/>
  <c r="AG67" i="1"/>
  <c r="AF68" i="1"/>
  <c r="AG74" i="1"/>
  <c r="AG75" i="1"/>
  <c r="AG88" i="1"/>
  <c r="AF90" i="1"/>
  <c r="AG92" i="1"/>
  <c r="AF93" i="1"/>
  <c r="AF102" i="1"/>
  <c r="AF105" i="1"/>
  <c r="AG108" i="1"/>
  <c r="AF115" i="1"/>
  <c r="AG115" i="1"/>
  <c r="AF116" i="1"/>
  <c r="AF130" i="1"/>
  <c r="AF117" i="1"/>
  <c r="AF52" i="1"/>
  <c r="AF56" i="1"/>
  <c r="AG57" i="1"/>
  <c r="AF64" i="1"/>
  <c r="AF65" i="1"/>
  <c r="AG66" i="1"/>
  <c r="AG68" i="1"/>
  <c r="AG69" i="1"/>
  <c r="AF71" i="1"/>
  <c r="AF72" i="1"/>
  <c r="AF75" i="1"/>
  <c r="AG78" i="1"/>
  <c r="AF79" i="1"/>
  <c r="AF80" i="1"/>
  <c r="AF85" i="1"/>
  <c r="AG89" i="1"/>
  <c r="AF92" i="1"/>
  <c r="AF94" i="1"/>
  <c r="AG98" i="1"/>
  <c r="AF101" i="1"/>
  <c r="AG102" i="1"/>
  <c r="AF108" i="1"/>
  <c r="AG112" i="1"/>
  <c r="AF24" i="1"/>
  <c r="AF25" i="1"/>
  <c r="AF30" i="1"/>
  <c r="AF32" i="1"/>
  <c r="AG53" i="1"/>
  <c r="AG54" i="1"/>
  <c r="AF59" i="1"/>
  <c r="AG62" i="1"/>
  <c r="AF69" i="1"/>
  <c r="AG71" i="1"/>
  <c r="AG72" i="1"/>
  <c r="AG82" i="1"/>
  <c r="AG83" i="1"/>
  <c r="AG90" i="1"/>
  <c r="AF91" i="1"/>
  <c r="AG103" i="1"/>
  <c r="AF104" i="1"/>
  <c r="AF106" i="1"/>
  <c r="AF114" i="1"/>
  <c r="AF123" i="1"/>
  <c r="AG123" i="1"/>
  <c r="AF131" i="1"/>
  <c r="AG131" i="1"/>
  <c r="M9" i="1"/>
  <c r="U9" i="1"/>
  <c r="AC9" i="1"/>
  <c r="AD9" i="1"/>
  <c r="AE9" i="1"/>
  <c r="AF16" i="1"/>
  <c r="AF33" i="1"/>
  <c r="AG33" i="1"/>
  <c r="AF36" i="1"/>
  <c r="AG36" i="1"/>
  <c r="AF50" i="1"/>
  <c r="AG55" i="1"/>
  <c r="AG61" i="1"/>
  <c r="AF67" i="1"/>
  <c r="AF73" i="1"/>
  <c r="AF76" i="1"/>
  <c r="AG79" i="1"/>
  <c r="AF83" i="1"/>
  <c r="AF84" i="1"/>
  <c r="AG94" i="1"/>
  <c r="AF96" i="1"/>
  <c r="AF97" i="1"/>
  <c r="AG100" i="1"/>
  <c r="AG106" i="1"/>
  <c r="AF107" i="1"/>
  <c r="AF112" i="1"/>
  <c r="AG16" i="1"/>
  <c r="AF62" i="1"/>
  <c r="AF63" i="1"/>
  <c r="AG64" i="1"/>
  <c r="AG65" i="1"/>
  <c r="AF77" i="1"/>
  <c r="AG81" i="1"/>
  <c r="AF82" i="1"/>
  <c r="AF89" i="1"/>
  <c r="AG97" i="1"/>
  <c r="AG99" i="1"/>
  <c r="AG107" i="1"/>
  <c r="AG9" i="1" l="1"/>
</calcChain>
</file>

<file path=xl/sharedStrings.xml><?xml version="1.0" encoding="utf-8"?>
<sst xmlns="http://schemas.openxmlformats.org/spreadsheetml/2006/main" count="7657" uniqueCount="712">
  <si>
    <t>Administrativos - Diversos</t>
  </si>
  <si>
    <t>Opex</t>
  </si>
  <si>
    <t>RESCISÃO FGTS</t>
  </si>
  <si>
    <t>Pessoal</t>
  </si>
  <si>
    <t>RESCISÃO INSS REONERAÇÃO</t>
  </si>
  <si>
    <t>RESCISÃO INSS</t>
  </si>
  <si>
    <t>RESCISÃO</t>
  </si>
  <si>
    <t>FÉRIAS FGTS</t>
  </si>
  <si>
    <t>FÉRIAS INSS REONERAÇÃO</t>
  </si>
  <si>
    <t>FÉRIAS INSS</t>
  </si>
  <si>
    <t>FÉRIAS</t>
  </si>
  <si>
    <t>Bônus</t>
  </si>
  <si>
    <t>VR/VA</t>
  </si>
  <si>
    <t>Jurídico Imobiliário</t>
  </si>
  <si>
    <t>Diretoria Jurídica</t>
  </si>
  <si>
    <t>Jurídico Corporativo</t>
  </si>
  <si>
    <t>VALE TRANSPORTE</t>
  </si>
  <si>
    <t>SEGURO DE VIDA</t>
  </si>
  <si>
    <t>SALÁRIO</t>
  </si>
  <si>
    <t>SALÁRIO INSS REONERAÇÃO</t>
  </si>
  <si>
    <t>13º SALÁRIO INSS REONERAÇÃO</t>
  </si>
  <si>
    <t>13º SALÁRIO INSS</t>
  </si>
  <si>
    <t>1/3 FÉRIAS INSS REONERAÇÃO</t>
  </si>
  <si>
    <t>1/3 FÉRIAS INSS</t>
  </si>
  <si>
    <t>SALÁRIO INSS</t>
  </si>
  <si>
    <t>13º SALÁRIO FGTS</t>
  </si>
  <si>
    <t>1/3 FÉRIAS FGTS</t>
  </si>
  <si>
    <t>SALÁRIO FGTS</t>
  </si>
  <si>
    <t>BÔNUS</t>
  </si>
  <si>
    <t>AUXÍLIO MOBILIZAÇÃO</t>
  </si>
  <si>
    <t>ASSISTÊNCIA ODONTOLÓGICA</t>
  </si>
  <si>
    <t>ASSISTÊNCIA MÉDICA</t>
  </si>
  <si>
    <t>13º SALÁRIO</t>
  </si>
  <si>
    <t>Salário FGTS</t>
  </si>
  <si>
    <t>Salário INSS</t>
  </si>
  <si>
    <t>Salário</t>
  </si>
  <si>
    <t>Férias FGTS</t>
  </si>
  <si>
    <t>Férias INSS</t>
  </si>
  <si>
    <t>Férias</t>
  </si>
  <si>
    <t>1/3 FÉRIAS</t>
  </si>
  <si>
    <t>RDV (Reembolso de Despesa de Viagens)</t>
  </si>
  <si>
    <t>Viagens</t>
  </si>
  <si>
    <t>AJUDA DE CUSTO</t>
  </si>
  <si>
    <t>Exames Admissionais, Demissionais e Periódicos</t>
  </si>
  <si>
    <t xml:space="preserve">Administrativos - Pessoal </t>
  </si>
  <si>
    <t>Despesas com Serviços Gráficos</t>
  </si>
  <si>
    <t>Administrativos - Facilities</t>
  </si>
  <si>
    <t>Taxas Administração de Jovem Aprendiz e Estagiário</t>
  </si>
  <si>
    <t>Despesas com Cartório</t>
  </si>
  <si>
    <t>Reuniões e Encontros Diretorias / Lideres</t>
  </si>
  <si>
    <t>Despesas com Eventos</t>
  </si>
  <si>
    <t>Consultoria / Assessoria - Diversas</t>
  </si>
  <si>
    <t>Transporte em Viagens (Uber / Táxi / Transporte Particular)</t>
  </si>
  <si>
    <t>Passagens Ônibus de Viagem</t>
  </si>
  <si>
    <t>Passagens Aéreas</t>
  </si>
  <si>
    <t>Hospedagens</t>
  </si>
  <si>
    <t>Pedágio</t>
  </si>
  <si>
    <t>Veículos</t>
  </si>
  <si>
    <t>Manutenções e Lavagens de Veículos Frota</t>
  </si>
  <si>
    <t>Despesas de Frota</t>
  </si>
  <si>
    <t>Cartão Combustível</t>
  </si>
  <si>
    <t>Estacionamentos</t>
  </si>
  <si>
    <t>Monitoramentos / Consultas - Serasa</t>
  </si>
  <si>
    <t>Despesas com Motoboy</t>
  </si>
  <si>
    <t>Despesas com Correspondências</t>
  </si>
  <si>
    <t>Outras Despesas Gerais - Jurídicas</t>
  </si>
  <si>
    <t>Despesas Jurídicas</t>
  </si>
  <si>
    <t>Honorários / Prestadores Recorrentes</t>
  </si>
  <si>
    <t>Honorários / Prestadores Variáveis</t>
  </si>
  <si>
    <t>Despesas Processuais (Perícias, Pareceres)</t>
  </si>
  <si>
    <t>Despesas com Empresa LTDA</t>
  </si>
  <si>
    <t>Outras Despesas Gerais - Jurídico LTDA</t>
  </si>
  <si>
    <t>Despesas com Empresa LTDA - Jurídico</t>
  </si>
  <si>
    <t>Despesas com Cartório LTDA</t>
  </si>
  <si>
    <t>Alterações de Atos Societários LTDA</t>
  </si>
  <si>
    <t>Desvio</t>
  </si>
  <si>
    <t>Realizado</t>
  </si>
  <si>
    <t>Orçado</t>
  </si>
  <si>
    <t>Pacote Orçamentário</t>
  </si>
  <si>
    <t>Tipo Despesa</t>
  </si>
  <si>
    <t>C.C. Diretoria</t>
  </si>
  <si>
    <t>%</t>
  </si>
  <si>
    <t>Total 2026</t>
  </si>
  <si>
    <t>Dezembro</t>
  </si>
  <si>
    <t>Novembro</t>
  </si>
  <si>
    <t>Outubro</t>
  </si>
  <si>
    <t>Setembro</t>
  </si>
  <si>
    <t>Agosto</t>
  </si>
  <si>
    <t>Julho</t>
  </si>
  <si>
    <t>Junho</t>
  </si>
  <si>
    <t>Acumulado</t>
  </si>
  <si>
    <t>Maio</t>
  </si>
  <si>
    <t>Abril</t>
  </si>
  <si>
    <t>Março</t>
  </si>
  <si>
    <t>Fevereiro</t>
  </si>
  <si>
    <t>Janeiro</t>
  </si>
  <si>
    <t>BD02</t>
  </si>
  <si>
    <t>BD01</t>
  </si>
  <si>
    <t>BD</t>
  </si>
  <si>
    <t>Nome Diretoria</t>
  </si>
  <si>
    <t>Centro de Custo</t>
  </si>
  <si>
    <t>Valor</t>
  </si>
  <si>
    <t>Evento - 8030 - Assistência Médica , Março , 47150 - Jurídico Corporativo , 4701150</t>
  </si>
  <si>
    <t>Evento - 8086 - Assistência Médica Dependente , Março , 47150 - Jurídico Corporativo , 4701150</t>
  </si>
  <si>
    <t>Evento - 8030 - Assistência Médica , Março , 47159 - Diretoria Jurídica , 4701159</t>
  </si>
  <si>
    <t>Evento - 8030 - Assistência Médica , Março , 47160 - Jurídico Imobiliário , 4701160</t>
  </si>
  <si>
    <t>Evento - 8086 - Assistência Médica Dependente , Março , 47160 - Jurídico Imobiliário , 4701160</t>
  </si>
  <si>
    <t>13º Salário</t>
  </si>
  <si>
    <t>13º Salário FGTS</t>
  </si>
  <si>
    <t>Evento - 5530 - Contribuição Assistencial , Março , 47150 - Jurídico Corporativo , 4701150</t>
  </si>
  <si>
    <t>Evento - 5530 - Contribuição Assistencial , Março , 47159 - Diretoria Jurídica , 4701159</t>
  </si>
  <si>
    <t>Evento - 5530 - Contribuição Assistencial , Março , 47160 - Jurídico Imobiliário , 4701160</t>
  </si>
  <si>
    <t>Rateio INSS Patronal 03.2026 - 4701150</t>
  </si>
  <si>
    <t>Rateio INSS Patronal 03.2026 - 4701159</t>
  </si>
  <si>
    <t>Rateio INSS Patronal 03.2026 - 4701160</t>
  </si>
  <si>
    <t>13º Salário INSS</t>
  </si>
  <si>
    <t>Evento - T210 - Provisão de INSS de 13o. Salário - Mês , Março , 47150 - Jurídico Corporativo , 4701150</t>
  </si>
  <si>
    <t>Evento - T210 - Provisão de INSS de 13o. Salário - Mês , Março , 47159 - Diretoria Jurídica , 4701159</t>
  </si>
  <si>
    <t>Evento - T210 - Provisão de INSS de 13o. Salário - Mês , Março , 47160 - Jurídico Imobiliário , 4701160</t>
  </si>
  <si>
    <t>Evento - T110 - Provisão de INSS de Férias - Mês , Março , 47150 - Jurídico Corporativo , 4701150</t>
  </si>
  <si>
    <t>Evento - T110 - Provisão de INSS de Férias - Mês , Março , 47159 - Diretoria Jurídica , 4701159</t>
  </si>
  <si>
    <t>Evento - T110 - Provisão de INSS de Férias - Mês , Março , 47160 - Jurídico Imobiliário , 4701160</t>
  </si>
  <si>
    <t>Evento - T220 - Provisão de FGTS de 13o. Salário  - Mês , Março , 47150 - Jurídico Corporativo , 4701150</t>
  </si>
  <si>
    <t>Evento - T220 - Provisão de FGTS de 13o. Salário  - Mês , Março , 47159 - Diretoria Jurídica , 4701159</t>
  </si>
  <si>
    <t>Evento - T220 - Provisão de FGTS de 13o. Salário  - Mês , Março , 47160 - Jurídico Imobiliário , 4701160</t>
  </si>
  <si>
    <t>Benefícios</t>
  </si>
  <si>
    <t>Vale Transporte</t>
  </si>
  <si>
    <t>Evento - 5725 - Vale Transporte , Março , 47150 - Jurídico Corporativo , 4701150</t>
  </si>
  <si>
    <t>Evento - T120 - Provisão de FGTS de Férias - Mês , Março , 47150 - Jurídico Corporativo , 4701150</t>
  </si>
  <si>
    <t>Evento - T120 - Provisão de FGTS de Férias - Mês , Março , 47159 - Diretoria Jurídica , 4701159</t>
  </si>
  <si>
    <t>Evento - T120 - Provisão de FGTS de Férias - Mês , Março , 47160 - Jurídico Imobiliário , 4701160</t>
  </si>
  <si>
    <t>Item Despesa, NF: 309638 , Fornecedor: 30 TABELIÃO DE NOTAS DA CAPITAL - 45576691000104 , Desc NF: Ticket 309638 , Método Pgmto: BR_EFT</t>
  </si>
  <si>
    <t xml:space="preserve">Administrativo - Pessoal </t>
  </si>
  <si>
    <t>Item Despesa, NF: 336061 , Fornecedor: SERASA S.A. - 62173620009306 , Desc NF:  Ticket #309736 , Método Pgmto: BR_BOLETO</t>
  </si>
  <si>
    <t>Item Despesa, NF: 3000515 , Fornecedor: ALELO INSTITUICAO DE PAGAMENTO SA - 04740876000125 , Desc NF: Ticket #309842 , Método Pgmto: BR_BOLETO</t>
  </si>
  <si>
    <t>Item Despesa, NF: 260590051287951 , Fornecedor: SECRETARIA DA FAZENDA E PLANEJAMENTO - 46377222000129 , Desc NF: Ticket 310092 , Método Pgmto: BR_BOLETO</t>
  </si>
  <si>
    <t>Item Despesa, NF: 310080 , Fornecedor: ESTADO DE MATO GROSSO , Desc NF: Ticket 310080 , Método Pgmto: BR_TAX_BARCODE</t>
  </si>
  <si>
    <t>Item Despesa, NF: 12744 , Fornecedor: VOLL S.A. - 09306896000106 , Desc NF: Ticket #312899 , Método Pgmto: BR_BOLETO</t>
  </si>
  <si>
    <t xml:space="preserve">Passagens Aéreas </t>
  </si>
  <si>
    <t>Item Despesa, NF: 614 , Fornecedor: SERUR ADVOGADOS - 03003646000110 , Desc NF: Ticket 310074 , Método Pgmto: BR_EFT</t>
  </si>
  <si>
    <t>Item Despesa, NF: 612 , Fornecedor: SERUR ADVOGADOS - 03003646000110 , Desc NF: Ticket 310073 , Método Pgmto: BR_EFT</t>
  </si>
  <si>
    <t>Item Despesa, NF: 134 , Fornecedor: STOCCHE, FORBES, PASSARO E CAMPOS SOCIEDADE DE ADVOGADOS - 34986424000199 , Desc NF:  Ticket #309323 , Método Pgmto: BR_EFT</t>
  </si>
  <si>
    <t>Item Despesa, NF: 260590055365923 , Fornecedor: SECRETARIA DA FAZENDA E PLANEJAMENTO - 46377222000129 , Desc NF:  Ticket #311646 , Método Pgmto: BR_BOLETO</t>
  </si>
  <si>
    <t>Item Despesa, NF: 260590047955800 , Fornecedor: SECRETARIA DA FAZENDA E PLANEJAMENTO - 46377222000129 , Desc NF: Ticket #309037 , Método Pgmto: BR_BOLETO</t>
  </si>
  <si>
    <t>Item Despesa, NF: 4700 , Fornecedor: GAHYVA E BRANDAO ADVOGADOS - 12266965000100 , Desc NF: Ticket #311853 , Método Pgmto: BR_EFT</t>
  </si>
  <si>
    <t>Item Despesa, NF: 5079 , Fornecedor: C LIMA SERVICOS LTDA - 04385911000135 , Desc NF: Ticket #309811 , Método Pgmto: BR_EFT</t>
  </si>
  <si>
    <t>Item Despesa, NF: 4375 , Fornecedor: REIS, SOUZA, TAKEISHI &amp; ARSUFFI SOCIEDADE DE ADVOGADOS - 09639999000198 , Desc NF: Ticket #310127 , Método Pgmto: BR_EFT</t>
  </si>
  <si>
    <t>Imposto a recuperar, NF: 13667-1-20260306-04998253000319 , Fornecedor: BELLA PAULISTA RESTAURANTE PAES DOCES E CONVENIENCIAS LTDA - 04998253000319 , Desc NF: Ticket #309877</t>
  </si>
  <si>
    <t>Item Despesa, NF: 13667-1-20260306-04998253000319 , Fornecedor: BELLA PAULISTA RESTAURANTE PAES DOCES E CONVENIENCIAS LTDA - 04998253000319 , Desc NF: Ticket #309877 , Método Pgmto: BR_BOLETO</t>
  </si>
  <si>
    <t>Item Despesa, NF: 239523 , Fornecedor: LUZ PUBLICIDADE SP SUL LTDA - 50750298000125 , Desc NF: Ticket 309324 , Método Pgmto: BR_EFT</t>
  </si>
  <si>
    <t>Item Despesa, NF: 770 , Fornecedor: RIBEIRO PINTO ADVOGADOS ASSOCIADOS - 04612076000129 , Desc NF: Ticket 310079 , Método Pgmto: BR_EFT</t>
  </si>
  <si>
    <t>Item Despesa, NF: 769 , Fornecedor: RIBEIRO PINTO ADVOGADOS ASSOCIADOS - 04612076000129 , Desc NF: Ticket 310078 , Método Pgmto: BR_EFT</t>
  </si>
  <si>
    <t>Item Despesa, NF: 641 , Fornecedor: SERUR ADVOGADOS - 03003646000110 , Desc NF:  Ticket #309804 , Método Pgmto: BR_EFT</t>
  </si>
  <si>
    <t>Item Despesa, NF: 2610 , Fornecedor: CONTATO DIARIO LTDA - 03501722000118 , Desc NF: Ticket 310450 , Método Pgmto: BR_EFT</t>
  </si>
  <si>
    <t>Item Despesa, NF: 895 , Fornecedor: REIS, SOUZA, TAKEISHI &amp; ARSUFFI SOCIEDADE DE ADVOGADOS - 09639999000198 , Desc NF: Ticket #310133 , Método Pgmto: BR_EFT</t>
  </si>
  <si>
    <t>Item Despesa, NF: 616 , Fornecedor: SERUR ADVOGADOS - 03003646000110 , Desc NF: Ticket 309369 , Método Pgmto: BR_EFT</t>
  </si>
  <si>
    <t>Item Despesa, NF: 615 , Fornecedor: SERUR ADVOGADOS - 03003646000110 , Desc NF: Ticket 309370 , Método Pgmto: BR_EFT</t>
  </si>
  <si>
    <t>Item Despesa, NF: 618 , Fornecedor: SERUR ADVOGADOS - 03003646000110 , Desc NF: Ticket 309372 , Método Pgmto: BR_EFT</t>
  </si>
  <si>
    <t>Item Despesa, NF: 1000117121 , Fornecedor: JOAO VICTOR ANDREGUETO GIANFRATTI - 50048233838 , Desc NF: Ticket #309276 , Método Pgmto: BR_EFT</t>
  </si>
  <si>
    <t>Item Despesa, NF: 35161 , Fornecedor: 2 TABELIAO DE NOTAS - 51857563000131 , Desc NF: Ticket #310534 , Método Pgmto: BR_EFT</t>
  </si>
  <si>
    <t>Item Despesa, NF: 337442 , Fornecedor: SERASA S.A. - 62173620009306 , Desc NF: Ticket #309740 , Método Pgmto: BR_BOLETO</t>
  </si>
  <si>
    <t>Item Despesa, NF: 45686 , Fornecedor: RB REDE DE BENEFICIOS E GESTAO EMPRESARIAL LTDA - 00342669000161 , Desc NF: Ticket #308682 - BAIXA ADTO305034 , Método Pgmto: BR_BOLETO</t>
  </si>
  <si>
    <t>Item Despesa, NF: 392964 , Fornecedor: RB REDE DE BENEFICIOS E GESTAO EMPRESARIAL LTDA - 00342669000161 , Desc NF: Ticket #308682 - BAIXA ADTO305034 , Método Pgmto: BR_BOLETO</t>
  </si>
  <si>
    <t>Item Despesa, NF: 1000120291 , Fornecedor: SECRETARIA DA FAZENDA E PLANEJAMENTO - 46377222000129 , Desc NF: Ticket #311641 - DARE - JUCESP  Ref. Registro Constituição Pacaembu Leme 600 , Método Pgmto: BR_BOLETO</t>
  </si>
  <si>
    <t>Item Despesa, NF: 1000120301 , Fornecedor: SECRETARIA DA FAZENDA E PLANEJAMENTO - 46377222000129 , Desc NF: Ticket #311644 - DARE - JUCESP  Ref. Registro Constituição Pacaembu Araras 585 , Método Pgmto: BR_BOLETO</t>
  </si>
  <si>
    <t>Item Despesa, NF: 13709 , Fornecedor: SAOC CONSULTORIA EM SEGURANCA E SAUDE DO TRABALHO LTDA - 34653781000135 , Desc NF: Ticket #310375 , Método Pgmto: BR_BOLETO</t>
  </si>
  <si>
    <t>Item Despesa, NF: 1000123241 , Fornecedor: SECRETARIA DA FAZENDA E PLANEJAMENTO - 46377222000129 , Desc NF: Ticket #314061 - DARE - JUCESP  Ref. Registro Constituição Pacaembu  Assis Romeu Luis - 570 , Método Pgmto: BR_BOLETO</t>
  </si>
  <si>
    <t>EVENTO - T100 - RATEIO RH - Provisão de Férias - Mês 02 2026</t>
  </si>
  <si>
    <t>EVENTO - T110 - RATEIO RH - Provisão de Férias - Mês 12 2025</t>
  </si>
  <si>
    <t>EVENTO - T100 - RATEIO RH - Provisão de Férias - Mês 01 2026</t>
  </si>
  <si>
    <t>Item Despesa, NF: 240151 , Fornecedor: LUZ PUBLICIDADE SP SUL LTDA - 50750298000125 , Desc NF:  Ticket #313386 , Método Pgmto: BR_EFT</t>
  </si>
  <si>
    <t>Item Despesa, NF: 2908923 , Fornecedor: ALELO INSTITUICAO DE PAGAMENTO SA - 04740876000125 , Desc NF: Ticket #313171 , Método Pgmto: BR_BOLETO</t>
  </si>
  <si>
    <t>Item Despesa, NF: 37 , Fornecedor: EDMAR BARBOSA MACHADO CONSULTORIA EM TECNOLOGIA DA INFORMACAO LTDA - 54916624000182 , Desc NF: Ticket #311353 , Método Pgmto: BR_EFT</t>
  </si>
  <si>
    <t>Item Despesa, NF: 54271 , Fornecedor: PWD SAUDE E SEGURANCA OCUPACIONAL LTDA - 20998877000120 , Desc NF:  Ticket #311650 , Método Pgmto: BR_BOLETO</t>
  </si>
  <si>
    <t>Item Despesa, NF: 28152990105088391 , Fornecedor: SERVICO NACIONAL DE APRENDIZAGEM INDUSTRIAL SENAI - 33564543000190 , Desc NF:  , Método Pgmto: BR_BOLETO</t>
  </si>
  <si>
    <t>Item Despesa, NF: 28152990105088327 , Fornecedor: SERVICO NACIONAL DE APRENDIZAGEM INDUSTRIAL SENAI - 33564543000190 , Desc NF:  , Método Pgmto: BR_BOLETO</t>
  </si>
  <si>
    <t>EVENTO - T200 - RATEIO RH - Provisão de 13o. Salário - Mês 01 2026</t>
  </si>
  <si>
    <t>Item Despesa, NF: 446 , Fornecedor: BM ASSESSORIA EMPRESARIAL LTDA - 32930743000157 , Desc NF: Ticket #311675 , Método Pgmto: BR_EFT</t>
  </si>
  <si>
    <t>Item Despesa, NF: 313155 , Fornecedor: CARLA MOROZETTI BLANCO - 25585715836 , Desc NF: Ticket 313155 , Método Pgmto: BR_EFT</t>
  </si>
  <si>
    <t>Item Despesa, NF: 646 , Fornecedor: SERUR ADVOGADOS - 03003646000110 , Desc NF: Ticket #311205 , Método Pgmto: BR_EFT</t>
  </si>
  <si>
    <t>Item Despesa, NF: 4381 , Fornecedor: REIS, SOUZA, TAKEISHI &amp; ARSUFFI SOCIEDADE DE ADVOGADOS - 09639999000198 , Desc NF: Ticket #311180 , Método Pgmto: BR_EFT</t>
  </si>
  <si>
    <t>Item Despesa, NF: 313119 , Fornecedor: BEATRIZ LEAL CREPALDI DE OLIVEIRA - 51124074848 , Desc NF: Ticket 313119 , Método Pgmto: BR_EFT</t>
  </si>
  <si>
    <t>Item Despesa, NF: 313123 , Fornecedor: BEATRIZ LEAL CREPALDI DE OLIVEIRA - 51124074848 , Desc NF: Ticket 313123 , Método Pgmto: BR_EFT</t>
  </si>
  <si>
    <t>Item Despesa, NF: 313122 , Fornecedor: BEATRIZ LEAL CREPALDI DE OLIVEIRA - 51124074848 , Desc NF: Ticket 313122 , Método Pgmto: BR_EFT</t>
  </si>
  <si>
    <t>Item Despesa, NF: 313121 , Fornecedor: BEATRIZ LEAL CREPALDI DE OLIVEIRA - 51124074848 , Desc NF: Ticket 313121 , Método Pgmto: BR_EFT</t>
  </si>
  <si>
    <t>Item Despesa, NF: 184216 , Fornecedor: SERASA S.A. - 62173620009306 , Desc NF: Ticket #312079 , Método Pgmto: BR_BOLETO</t>
  </si>
  <si>
    <t xml:space="preserve">Assistência Médica </t>
  </si>
  <si>
    <t>Item Despesa, NF: 65964287294350 , Fornecedor: SUL AMERICA COMPANHIA DE SEGURO SAUDE - 01685053000156 , Desc NF: Ticket 313160 , Método Pgmto: BR_BOLETO</t>
  </si>
  <si>
    <t>Seguro de Vida</t>
  </si>
  <si>
    <t>Item Despesa, NF: 85173522784 , Fornecedor: CAIXA VIDA E PREVIDENCIA S/A - 03730204000176 , Desc NF: Ticket 313161 , Método Pgmto: BR_BOLETO</t>
  </si>
  <si>
    <t>Item Despesa, NF: 94934331 , Fornecedor: VR BENEFICIOS E SERVICOS DE PROCESSAMENTO S.A - 02535864000133 , Desc NF: Ticket #314190 - DEBITO AUTOMÁTICO , Método Pgmto: BR_BOLETO</t>
  </si>
  <si>
    <t>Item Despesa, NF: 94934332 , Fornecedor: VR BENEFICIOS E SERVICOS DE PROCESSAMENTO S.A - 02535864000133 , Desc NF:  Ticket #314189 - REGULARIZAÇÃO DEBITO AUTOMÁTICO , Método Pgmto: BR_BOLETO</t>
  </si>
  <si>
    <t>Item Despesa, NF: 33085 , Fornecedor: BICALHO NAVARRO ADVOGADOS - 04095385000179 , Desc NF: Ticket #311337 , Método Pgmto: BR_EFT</t>
  </si>
  <si>
    <t>Assistência Odontológica</t>
  </si>
  <si>
    <t>Item Despesa, NF: 4940270 , Fornecedor: SUL AMERICA ODONTOLOGICO S.A - 11973134000105 , Desc NF: Ticket 313158 , Método Pgmto: BR_BOLETO</t>
  </si>
  <si>
    <t>Item Despesa, NF: 1000123311 , Fornecedor: SECRETARIA DA FAZENDA E PLANEJAMENTO - 46377222000129 , Desc NF: Ticket #314123 - DARE - JUCESP Ref. Registro da Ata RD 23/03/2026 , Método Pgmto: BR_BOLETO</t>
  </si>
  <si>
    <t>Item Despesa, NF: 20541 , Fornecedor: UNIDAS LOCACOES E SERVICOS S/A - 75609123000123 , Desc NF: Ticket 313189 , Método Pgmto: BR_BOLETO</t>
  </si>
  <si>
    <t>Item Despesa, NF: 313454 , Fornecedor: ITAU UNIBANCO HOLDING S.A. - 60872504000123 , Desc NF: Ticket #313454 - CARTÃO DE CRÉDITO VOLL , Método Pgmto: BR_BOLETO</t>
  </si>
  <si>
    <t>Item Despesa, NF: 260590061253087 , Fornecedor: SECRETARIA DA FAZENDA E PLANEJAMENTO - 46377222000129 , Desc NF: Ticket 313378 , Método Pgmto: BR_BOLETO</t>
  </si>
  <si>
    <t>Item Despesa, NF: 260590060398436 , Fornecedor: SECRETARIA DA FAZENDA E PLANEJAMENTO - 46377222000129 , Desc NF: Ticket 313382 , Método Pgmto: BR_BOLETO</t>
  </si>
  <si>
    <t>Item Despesa, NF: REEMB#000133683686 , Fornecedor: Victor Vasconcelos Miranda , Desc NF:  , Método Pgmto: BR_EFT</t>
  </si>
  <si>
    <t>Item Despesa, NF: 38801 , Fornecedor: UBER DO BRASIL TECNOLOGIA LTDA. - 17895646000187 , Desc NF: Ticket #312333 , Método Pgmto: BR_BOLETO</t>
  </si>
  <si>
    <t>Evento - T100 - Provisão de Férias - Mês , Março , 47150 - Jurídico Corporativo , 4701150</t>
  </si>
  <si>
    <t>Evento - T100 - Provisão de Férias - Mês , Março , 47159 - Diretoria Jurídica , 4701159</t>
  </si>
  <si>
    <t>Evento - T200 - Provisão de 13o. Salário - Mês , Março , 47150 - Jurídico Corporativo , 4701150</t>
  </si>
  <si>
    <t>Evento - T200 - Provisão de 13o. Salário - Mês , Março , 47159 - Diretoria Jurídica , 4701159</t>
  </si>
  <si>
    <t>Evento - T200 - Provisão de 13o. Salário - Mês , Março , 47160 - Jurídico Imobiliário , 4701160</t>
  </si>
  <si>
    <t>Evento - B074 - GPS Salário Acidente de Trabalho 2.7516% , Março , 47150 - Jurídico Corporativo , 4701150</t>
  </si>
  <si>
    <t>Evento - B076 - GPS Salário Terceiros 5.80% , Março , 47150 - Jurídico Corporativo , 4701150</t>
  </si>
  <si>
    <t>Evento - B074 - GPS Salário Acidente de Trabalho 2.7516% , Março , 47159 - Diretoria Jurídica , 4701159</t>
  </si>
  <si>
    <t>Evento - B076 - GPS Salário Terceiros 5.80% , Março , 47159 - Diretoria Jurídica , 4701159</t>
  </si>
  <si>
    <t>Evento - B074 - GPS Salário Acidente de Trabalho 2.7516% , Março , 47160 - Jurídico Imobiliário , 4701160</t>
  </si>
  <si>
    <t>Evento - B076 - GPS Salário Terceiros 5.80% , Março , 47160 - Jurídico Imobiliário , 4701160</t>
  </si>
  <si>
    <t>Evento - T100 - Provisão de Férias - Mês , Março , 47160 - Jurídico Imobiliário , 4701160</t>
  </si>
  <si>
    <t>Evento - 1510 - Insuficiência de Saldo , Março , 47150 - Jurídico Corporativo , 4701150</t>
  </si>
  <si>
    <t>Evento - 0001 - Salário , Março , 47150 - Jurídico Corporativo , 4701150</t>
  </si>
  <si>
    <t>Evento - 7010 - Insuficiência de Saldo , Março , 47150 - Jurídico Corporativo , 4701150</t>
  </si>
  <si>
    <t>Evento - 0001 - Salário , Março , 47159 - Diretoria Jurídica , 4701159</t>
  </si>
  <si>
    <t>Evento - 0001 - Salário , Março , 47160 - Jurídico Imobiliário , 4701160</t>
  </si>
  <si>
    <t>Depreciação, NF: 20541 , Fornecedor: UNIDAS LOCACOES E SERVICOS S/A - 75609123000123 , Desc NF: Ticket 313189 , Método Pgmto: BR_BOLETO</t>
  </si>
  <si>
    <t>RATEIO PROVISÃO DE FÉRIAS 03/2026 C.C 4701150</t>
  </si>
  <si>
    <t>RATEIO PROVISÃO DE 13º salário 03/2026 PACAEMBU</t>
  </si>
  <si>
    <t>Evento - B410 - FGTS Salário , Março , 47159 - Diretoria Jurídica , 4701159</t>
  </si>
  <si>
    <t>Evento - B410 - FGTS Salário , Março , 47160 - Jurídico Imobiliário , 4701160</t>
  </si>
  <si>
    <t>Evento - B410 - FGTS Salário , Março , 47150 - Jurídico Corporativo , 4701150</t>
  </si>
  <si>
    <t>- AMORTIZACAO DAS PARCELAS SEGUROS 03 2026 /47150 - JURIDICO CORPORATIVO / 4701150</t>
  </si>
  <si>
    <t>- AMORTIZACAO DAS PARCELAS SEGUROS 03 2026 /47151 - Provis�es JurIdicas. / 4701249</t>
  </si>
  <si>
    <t>FORNECEDORES   C LIMA SERVICOS LTDA / SECRETARIA DA FAZENDA E PLANEJAMENTO</t>
  </si>
  <si>
    <t>FORNECEDOR RANGEL MOREIRA RAMOS SOCIEDADE DE ADVOGADOS</t>
  </si>
  <si>
    <t>Item Despesa, NF: 42127 , Fornecedor: UNIDAS LOCACOES E SERVICOS S/A - 75609123000123 , Desc NF: Ticket 319135 , Método Pgmto: BR_BOLETO</t>
  </si>
  <si>
    <t>Item Despesa, NF: 15990 , Fornecedor: VOLL S.A. - 09306896000106 , Desc NF: Ticket #316734 , Método Pgmto: BR_BOLETO</t>
  </si>
  <si>
    <t>- AMORTIZACAO DAS PARCELAS SEGUROS 04 2026 /47150 - JURIDICO CORPORATIVO / 4701150</t>
  </si>
  <si>
    <t>Item Despesa, NF: 95821587 , Fornecedor: VR BENEFICIOS E SERVICOS DE PROCESSAMENTO S.A - 02535864000133 , Desc NF:  Ticket #320542 - REGULARIZAÇÃO DEBITO AUTOMATICO , Método Pgmto: BR_BOLETO</t>
  </si>
  <si>
    <t>Item Despesa, NF: 46727 , Fornecedor: RB REDE DE BENEFICIOS E GESTAO EMPRESARIAL LTDA - 00342669000161 , Desc NF:  Ticket #319138 - BAIXA ADTO312125 , Método Pgmto: BR_BOLETO</t>
  </si>
  <si>
    <t>Item Despesa, NF: 398066 , Fornecedor: RB REDE DE BENEFICIOS E GESTAO EMPRESARIAL LTDA - 00342669000161 , Desc NF:  Ticket #319138 - BAIXA ADTO312125 , Método Pgmto: BR_BOLETO</t>
  </si>
  <si>
    <t>Item Despesa, NF: 320474 , Fornecedor: CARLA MOROZETTI BLANCO - 25585715836 , Desc NF: TICKET 320474 , Método Pgmto: BR_EFT</t>
  </si>
  <si>
    <t>Item Despesa, NF: 318788 , Fornecedor: ITAU UNIBANCO HOLDING S.A. - 60872504000123 , Desc NF: Ticket #318788 - CARTÃO VOLL/DÉBITO , Método Pgmto: BR_BOLETO</t>
  </si>
  <si>
    <t>Item Despesa, NF: 229 , Fornecedor: STOCCHE, FORBES, PASSARO E CAMPOS SOCIEDADE DE ADVOGADOS - 34986424000199 , Desc NF: Ticket #316118 , Método Pgmto: BR_EFT</t>
  </si>
  <si>
    <t>Item Despesa, NF: 240544 , Fornecedor: LUZ PUBLICIDADE SP SUL LTDA - 50750298000125 , Desc NF: Ticket #316120 , Método Pgmto: BR_EFT</t>
  </si>
  <si>
    <t>Item Despesa, NF: 3825 , Fornecedor: CONTATO DIARIO LTDA - 03501722000118 , Desc NF: Ticket #315441 , Método Pgmto: BR_EFT</t>
  </si>
  <si>
    <t>Item Despesa, NF: 260590078509084 , Fornecedor: SECRETARIA DA FAZENDA E PLANEJAMENTO - 46377222000129 , Desc NF: Ticket #318316 , Método Pgmto: BR_BOLETO</t>
  </si>
  <si>
    <t>Item Despesa, NF: 4436 , Fornecedor: REIS, SOUZA, TAKEISHI &amp; ARSUFFI SOCIEDADE DE ADVOGADOS - 09639999000198 , Desc NF:  Ticket #317189 , Método Pgmto: BR_EFT</t>
  </si>
  <si>
    <t>Item Despesa, NF: 457 , Fornecedor: BM ASSESSORIA EMPRESARIAL LTDA - 32930743000157 , Desc NF: Ticket #317185 , Método Pgmto: BR_EFT</t>
  </si>
  <si>
    <t>PROVISÕES DE GRATIFICAÇÃO / BONIFICAÇÃO - CORPORATIVO 04.2026</t>
  </si>
  <si>
    <t>Item Despesa, NF: 8517358451 , Fornecedor: CAIXA VIDA E PREVIDENCIA S/A - 03730204000176 , Desc NF: Ticket #319172 , Método Pgmto: BR_BOLETO</t>
  </si>
  <si>
    <t>Item Despesa, NF: REEMB#000139291024 , Fornecedor: Victor Vasconcelos Miranda , Desc NF:  , Método Pgmto: BR_EFT</t>
  </si>
  <si>
    <t>Item Despesa, NF: 260590074691720 , Fornecedor: SECRETARIA DA FAZENDA E PLANEJAMENTO - 46377222000129 , Desc NF:  Ticket #316771 , Método Pgmto: BR_BOLETO</t>
  </si>
  <si>
    <t>Item Despesa, NF: 317903 , Fornecedor: VICTOR VASCONCELOS MIRANDA - 07203917410 , Desc NF: Ticket 317903 , Método Pgmto: BR_EFT</t>
  </si>
  <si>
    <t>Item Despesa, NF: 519 , Fornecedor: ATLAS GOVERNANCE TECNOLOGIA LTDA - 25462636000186 , Desc NF:  Ticket #316123 , Método Pgmto: BR_EFT</t>
  </si>
  <si>
    <t>Item Despesa, NF: 773 , Fornecedor: RIBEIRO PINTO ADVOGADOS ASSOCIADOS - 04612076000129 , Desc NF:  Ticket #316474 , Método Pgmto: BR_EFT</t>
  </si>
  <si>
    <t>Item Despesa, NF: 772 , Fornecedor: RIBEIRO PINTO ADVOGADOS ASSOCIADOS - 04612076000129 , Desc NF: Ticket #316473 , Método Pgmto: BR_EFT</t>
  </si>
  <si>
    <t>Item Despesa, NF: 1000127581 , Fornecedor: LAWRENCCE VAN HORNN LIBERATORI DA SILVA - 45573855832 , Desc NF: Ticket #317800 , Método Pgmto: BR_EFT</t>
  </si>
  <si>
    <t>Item Despesa, NF: 17372 , Fornecedor: VOLL S.A. - 09306896000106 , Desc NF: Ticket #317640 , Método Pgmto: BR_BOLETO</t>
  </si>
  <si>
    <t>Item Despesa, NF: 319652 , Fornecedor: ITAU UNIBANCO HOLDING S.A. - 60872504000123 , Desc NF: Ticket 319652 - CTH Voll - Baixa , Método Pgmto: BR_BOLETO</t>
  </si>
  <si>
    <t>Item Despesa, NF: 260590079766533 , Fornecedor: SECRETARIA DA FAZENDA E PLANEJAMENTO - 46377222000129 , Desc NF: Ticket 319021 , Método Pgmto: BR_BOLETO</t>
  </si>
  <si>
    <t>Item Despesa, NF: 260590079761409 , Fornecedor: SECRETARIA DA FAZENDA E PLANEJAMENTO - 46377222000129 , Desc NF: Ticket 319023 , Método Pgmto: BR_BOLETO</t>
  </si>
  <si>
    <t>Item Despesa, NF: 4338952 , Fornecedor: ALELO INSTITUICAO DE PAGAMENTO SA - 04740876000125 , Desc NF: Ticket #316212 , Método Pgmto: BR_BOLETO</t>
  </si>
  <si>
    <t>Item Despesa, NF: 4161160 , Fornecedor: ALELO INSTITUICAO DE PAGAMENTO SA - 04740876000125 , Desc NF: Ticket #316747 , Método Pgmto: BR_BOLETO</t>
  </si>
  <si>
    <t>Depreciação, NF: 42127 , Fornecedor: UNIDAS LOCACOES E SERVICOS S/A - 75609123000123 , Desc NF: Ticket 319135 , Método Pgmto: BR_BOLETO</t>
  </si>
  <si>
    <t>Item Despesa, NF: 317882 , Fornecedor: 30 TABELIÃO DE NOTAS DA CAPITAL - 45576691000104 , Desc NF: Ticket 317882 , Método Pgmto: BR_EFT</t>
  </si>
  <si>
    <t>Imposto a recuperar, NF: 48188-1-20260330-15341234000170 , Fornecedor: PAO E TALHO SANDUICHERIA LTDA - 15341234000170 , Desc NF: Ticket #315312</t>
  </si>
  <si>
    <t>Item Despesa, NF: 48188-1-20260330-15341234000170 , Fornecedor: PAO E TALHO SANDUICHERIA LTDA - 15341234000170 , Desc NF: Ticket #315312 , Método Pgmto: BR_BOLETO</t>
  </si>
  <si>
    <t>Item Despesa, NF: 260590084709968 , Fornecedor: SECRETARIA DA FAZENDA E PLANEJAMENTO - 46377222000129 , Desc NF: Ticket #320234 , Método Pgmto: BR_BOLETO</t>
  </si>
  <si>
    <t>Item Despesa, NF: 260590086268300 , Fornecedor: SECRETARIA DA FAZENDA E PLANEJAMENTO - 46377222000129 , Desc NF:  Ticket #320276 , Método Pgmto: BR_BOLETO</t>
  </si>
  <si>
    <t>Item Despesa, NF: 446473 , Fornecedor: UBER DO BRASIL TECNOLOGIA LTDA. - 17895646000187 , Desc NF: Ticket #318602 , Método Pgmto: BR_BOLETO</t>
  </si>
  <si>
    <t>Item Despesa, NF: 4996086 , Fornecedor: SUL AMERICA ODONTOLOGICO S.A - 11973134000105 , Desc NF: Ticket #319163 , Método Pgmto: BR_BOLETO</t>
  </si>
  <si>
    <t>Evento - T200 - Provisão de 13o. Salário - Mês , Abril , 47150 - Jurídico Corporativo , 4701150</t>
  </si>
  <si>
    <t>Evento - T200 - Provisão de 13o. Salário - Mês , Abril , 47159 - Diretoria Jurídica , 4701159</t>
  </si>
  <si>
    <t>Evento - T200 - Provisão de 13o. Salário - Mês , Abril , 47160 - Jurídico Imobiliário , 4701160</t>
  </si>
  <si>
    <t>Item Despesa, NF: 28152990105093961 , Fornecedor: SERVICO NACIONAL DE APRENDIZAGEM INDUSTRIAL SENAI - 33564543000190 , Desc NF:  , Método Pgmto: BR_BOLETO</t>
  </si>
  <si>
    <t>Item Despesa, NF: 65964289653940 , Fornecedor: SUL AMERICA COMPANHIA DE SEGURO SAUDE - 01685053000156 , Desc NF:  Ticket #319635 , Método Pgmto: BR_BOLETO</t>
  </si>
  <si>
    <t>Evento - B074 - GPS Salário Acidente de Trabalho 2.7516% , Abril , 47159 - Diretoria Jurídica , 4701159</t>
  </si>
  <si>
    <t>Evento - B076 - GPS Salário Terceiros 5.80% , Abril , 47159 - Diretoria Jurídica , 4701159</t>
  </si>
  <si>
    <t>Evento - B074 - GPS Salário Acidente de Trabalho 2.7516% , Abril , 47160 - Jurídico Imobiliário , 4701160</t>
  </si>
  <si>
    <t>Evento - B076 - GPS Salário Terceiros 5.80% , Abril , 47160 - Jurídico Imobiliário , 4701160</t>
  </si>
  <si>
    <t>Item Despesa, NF: 95821588 , Fornecedor: VR BENEFICIOS E SERVICOS DE PROCESSAMENTO S.A - 02535864000133 , Desc NF: Ticket #320541 - REGULARIZAÇÃO DÉBITO AUTOMÁTICO , Método Pgmto: BR_BOLETO</t>
  </si>
  <si>
    <t>PIX RECEBIDO 51800852000102 126,18 - 2 Registro de Imóveis de Ribeirão Preto:Pelo OUT+ :Banco 033 3984 000013002542</t>
  </si>
  <si>
    <t>Evento - B074 - GPS Salário Acidente de Trabalho 2.7516% , Abril , 47150 - Jurídico Corporativo , 4701150</t>
  </si>
  <si>
    <t>Evento - B076 - GPS Salário Terceiros 5.80% , Abril , 47150 - Jurídico Corporativo , 4701150</t>
  </si>
  <si>
    <t>Evento - 1871 - Bônus - Lei 13.467 , Abril , 47150 - Jurídico Corporativo , 4701150</t>
  </si>
  <si>
    <t>Evento - 5530 - Contribuição Assistencial , Abril , 47150 - Jurídico Corporativo , 4701150</t>
  </si>
  <si>
    <t>Evento - 5530 - Contribuição Assistencial , Abril , 47159 - Diretoria Jurídica , 4701159</t>
  </si>
  <si>
    <t>Evento - 5530 - Contribuição Assistencial , Abril , 47160 - Jurídico Imobiliário , 4701160</t>
  </si>
  <si>
    <t>Evento - T120 - Provisão de FGTS de Férias - Mês , Abril , 47150 - Jurídico Corporativo , 4701150</t>
  </si>
  <si>
    <t>Evento - T120 - Provisão de FGTS de Férias - Mês , Abril , 47159 - Diretoria Jurídica , 4701159</t>
  </si>
  <si>
    <t>Evento - T120 - Provisão de FGTS de Férias - Mês , Abril , 47160 - Jurídico Imobiliário , 4701160</t>
  </si>
  <si>
    <t>Evento - T210 - Provisão de INSS de 13o. Salário - Mês , Abril , 47150 - Jurídico Corporativo , 4701150</t>
  </si>
  <si>
    <t>Evento - T210 - Provisão de INSS de 13o. Salário - Mês , Abril , 47159 - Diretoria Jurídica , 4701159</t>
  </si>
  <si>
    <t>Evento - T210 - Provisão de INSS de 13o. Salário - Mês , Abril , 47160 - Jurídico Imobiliário , 4701160</t>
  </si>
  <si>
    <t>Evento - 1871 - Bônus - Lei 13.467 , Abril , 47159 - Diretoria Jurídica , 4701159</t>
  </si>
  <si>
    <t>Evento - B410 - FGTS Salário , Abril , 47150 - Jurídico Corporativo , 4701150</t>
  </si>
  <si>
    <t>Evento - B410 - FGTS Salário , Abril , 47159 - Diretoria Jurídica , 4701159</t>
  </si>
  <si>
    <t>Evento - B410 - FGTS Salário , Abril , 47160 - Jurídico Imobiliário , 4701160</t>
  </si>
  <si>
    <t>Evento - 1871 - Bônus - Lei 13.467 , Abril , 47160 - Jurídico Imobiliário , 4701160</t>
  </si>
  <si>
    <t>Evento - T110 - Provisão de INSS de Férias - Mês , Abril , 47150 - Jurídico Corporativo , 4701150</t>
  </si>
  <si>
    <t>Evento - T110 - Provisão de INSS de Férias - Mês , Abril , 47159 - Diretoria Jurídica , 4701159</t>
  </si>
  <si>
    <t>Evento - T110 - Provisão de INSS de Férias - Mês , Abril , 47160 - Jurídico Imobiliário , 4701160</t>
  </si>
  <si>
    <t>Evento - T220 - Provisão de FGTS de 13o. Salário  - Mês , Abril , 47150 - Jurídico Corporativo , 4701150</t>
  </si>
  <si>
    <t>Evento - T220 - Provisão de FGTS de 13o. Salário  - Mês , Abril , 47159 - Diretoria Jurídica , 4701159</t>
  </si>
  <si>
    <t>Evento - T220 - Provisão de FGTS de 13o. Salário  - Mês , Abril , 47160 - Jurídico Imobiliário , 4701160</t>
  </si>
  <si>
    <t>Evento - 1510 - Insuficiência de Saldo , Abril , 47150 - Jurídico Corporativo , 4701150</t>
  </si>
  <si>
    <t>Item Despesa, NF: 5097 , Fornecedor: C LIMA SERVICOS LTDA - 04385911000135 , Desc NF: Ticket #317112 , Método Pgmto: BR_EFT</t>
  </si>
  <si>
    <t>Evento - 5725 - Vale Transporte , Abril , 47150 - Jurídico Corporativo , 4701150</t>
  </si>
  <si>
    <t>RATEIO PROVISÃO DE 13º salário 04/2026 PACAEMBU C.C_ 47160</t>
  </si>
  <si>
    <t>Item Despesa, NF: 33351 , Fornecedor: BICALHO NAVARRO ADVOGADOS - 04095385000179 , Desc NF:  Ticket #318460 , Método Pgmto: BR_EFT</t>
  </si>
  <si>
    <t>Item Despesa, NF: 4437 , Fornecedor: REIS, SOUZA, TAKEISHI &amp; ARSUFFI SOCIEDADE DE ADVOGADOS - 09639999000198 , Desc NF: Ticket #317017 , Método Pgmto: BR_EFT</t>
  </si>
  <si>
    <t>Item Despesa, NF: 473885 , Fornecedor: SERASA S.A. - 62173620009306 , Desc NF: Ticket #316023 , Método Pgmto: BR_BOLETO</t>
  </si>
  <si>
    <t>Evento - 1510 - Insuficiência de Saldo , Abril , 47160 - Jurídico Imobiliário , 4701160</t>
  </si>
  <si>
    <t>Evento - 0001 - Salário , Abril , 47160 - Jurídico Imobiliário , 4701160</t>
  </si>
  <si>
    <t>Evento - T100 - Provisão de Férias - Mês , Abril , 47150 - Jurídico Corporativo , 4701150</t>
  </si>
  <si>
    <t>Evento - T100 - Provisão de Férias - Mês , Abril , 47159 - Diretoria Jurídica , 4701159</t>
  </si>
  <si>
    <t>Evento - T100 - Provisão de Férias - Mês , Abril , 47160 - Jurídico Imobiliário , 4701160</t>
  </si>
  <si>
    <t>Evento - 0001 - Salário , Abril , 47150 - Jurídico Corporativo , 4701150</t>
  </si>
  <si>
    <t>Evento - 7010 - Insuficiência de Saldo , Abril , 47150 - Jurídico Corporativo , 4701150</t>
  </si>
  <si>
    <t>Evento - 0001 - Salário , Abril , 47159 - Diretoria Jurídica , 4701159</t>
  </si>
  <si>
    <t>Frete, NF: 48188-1-20260330-15341234000170 , Fornecedor: PAO E TALHO SANDUICHERIA LTDA - 15341234000170 , Desc NF: Ticket #315312</t>
  </si>
  <si>
    <t>Rateio INSS Patronal 04.2026 - C.C 4701150</t>
  </si>
  <si>
    <t>Rateio INSS Patronal 04.2026 - C.C 4701159</t>
  </si>
  <si>
    <t>Rateio INSS Patronal 04.2026 - C.C 4701160</t>
  </si>
  <si>
    <t>Evento - 8030 - Assistência Médica , Abril , 47150 - Jurídico Corporativo , 4701150</t>
  </si>
  <si>
    <t>Evento - 8086 - Assistência Médica Dependente , Abril , 47150 - Jurídico Corporativo , 4701150</t>
  </si>
  <si>
    <t>Evento - 8030 - Assistência Médica , Abril , 47159 - Diretoria Jurídica , 4701159</t>
  </si>
  <si>
    <t>Evento - 8030 - Assistência Médica , Abril , 47160 - Jurídico Imobiliário , 4701160</t>
  </si>
  <si>
    <t>Evento - 8086 - Assistência Médica Dependente , Abril , 47160 - Jurídico Imobiliário , 4701160</t>
  </si>
  <si>
    <t>- AMORTIZACAO DAS PARCELAS SEGUROS 03 2026 /47151 - Provis�es JurIdicas. / 4701151</t>
  </si>
  <si>
    <t>Corre��o Manual Rateio Ve�culos NF 4161160</t>
  </si>
  <si>
    <t>Corre��o Manual Rateio Ve�culos NF 42127</t>
  </si>
  <si>
    <t>Corre��o Manual Rateio Ve�culos NF 4338952</t>
  </si>
  <si>
    <t>Corre��o Manual Rateio Viagens NF 15990</t>
  </si>
  <si>
    <t>Corre��o Manual Rateio Viagens NF 319652</t>
  </si>
  <si>
    <t>Corre��o Manual Rateio Viagens NF 318788</t>
  </si>
  <si>
    <t>Corre��o Manual Rateio Viagens NF 446473</t>
  </si>
  <si>
    <t>LTDA Despesas Administrativas</t>
  </si>
  <si>
    <t>Multas de Trânsito (Colaborador)</t>
  </si>
  <si>
    <t>Depreciação / UNIDAS LOCAÇÕES / 05 2026</t>
  </si>
  <si>
    <t>Item Despesa, NF: 042026IRRF , Fornecedor: SECRETARIA DA RECEITA FEDERAL DO BRASIL , Desc NF:  , Método Pgmto: BR_TAX_BARCODE</t>
  </si>
  <si>
    <t>Item Despesa, NF: 85173645541 , Fornecedor: CAIXA VIDA E PREVIDENCIA S/A - 03730204000176 , Desc NF: Ticket 325508 , Método Pgmto: BR_BOLETO</t>
  </si>
  <si>
    <t>Item Despesa, NF: 116287 , Fornecedor: EUREKA COWORKING SERVICOS DE ESCRITORIO LTDA. - 31027504000129 , Desc NF: Ticket #323442 , Método Pgmto: BR_EFT</t>
  </si>
  <si>
    <t>Item Despesa, NF: 260590097507063 , Fornecedor: SECRETARIA DA FAZENDA E PLANEJAMENTO - 46377222000129 , Desc NF: Ticket #323054 , Método Pgmto: BR_BOLETO</t>
  </si>
  <si>
    <t>Item Despesa, NF: REEMB#000148948533 , Fornecedor: Victor Vasconcelos Miranda , Desc NF:  , Método Pgmto: BR_EFT</t>
  </si>
  <si>
    <t>Item Despesa, NF: 4904 , Fornecedor: CONTATO DIARIO LTDA - 03501722000118 , Desc NF: Ticket #321253 , Método Pgmto: BR_EFT</t>
  </si>
  <si>
    <t>Item Despesa, NF: 21394 , Fornecedor: VOLL S.A. - 09306896000106 , Desc NF: Ticket 322566 , Método Pgmto: BR_BOLETO</t>
  </si>
  <si>
    <t>Item Despesa, NF: 260590098793667 , Fornecedor: SECRETARIA DA FAZENDA E PLANEJAMENTO - 46377222000129 , Desc NF: Ticket #323070 , Método Pgmto: BR_BOLETO</t>
  </si>
  <si>
    <t>Item Despesa, NF: 322509 , Fornecedor: VICTOR VASCONCELOS MIRANDA - 07203917410 , Desc NF: TICKET 322509 , Método Pgmto: BR_EFT</t>
  </si>
  <si>
    <t>Item Despesa, NF: 908 , Fornecedor: SERUR ADVOGADOS - 03003646000110 , Desc NF: Ticket 323549 , Método Pgmto: BR_EFT</t>
  </si>
  <si>
    <t>Item Despesa, NF: 1000135061 , Fornecedor: SECRETARIA DA FAZENDA E PLANEJAMENTO - 46377222000129 , Desc NF: Ticket #324363 - DARE - JUCESP  Ref. Registro Constituição Pacaembu Arapongas 635 , Método Pgmto: BR_BOLETO</t>
  </si>
  <si>
    <t>Item Despesa, NF: 1000135481 , Fornecedor: 30 TABELIÃO DE NOTAS DA CAPITAL - 45576691000104 , Desc NF: Ticket #324537 , Método Pgmto: BR_EFT</t>
  </si>
  <si>
    <t>Item Despesa, NF: 1000135471 , Fornecedor: 30 TABELIÃO DE NOTAS DA CAPITAL - 45576691000104 , Desc NF: Ticket #324536 , Método Pgmto: BR_EFT</t>
  </si>
  <si>
    <t>Item Despesa, NF: 322938 , Fornecedor: CARLA MOROZETTI BLANCO - 25585715836 , Desc NF: Ticket #322938 - RPA , Método Pgmto: BR_EFT</t>
  </si>
  <si>
    <t>Item Despesa, NF: 260590090111563 , Fornecedor: SECRETARIA DA FAZENDA E PLANEJAMENTO - 46377222000129 , Desc NF: Ticket 321007 , Método Pgmto: BR_BOLETO</t>
  </si>
  <si>
    <t>Evento - T210 - Provisão de INSS de 13o. Salário - Mês</t>
  </si>
  <si>
    <t>Evento - T215 - Provisão Desoner.INSS 13o Salário-Mês</t>
  </si>
  <si>
    <t>Evento - T220 - Provisão de FGTS de 13o. Salário  - Mês</t>
  </si>
  <si>
    <t>Evento - T200 - Provisão de 13o. Salário - Mês</t>
  </si>
  <si>
    <t>Evento - 1510 - Insuficiência de Saldo /47150 - Jurídico Corporativo</t>
  </si>
  <si>
    <t>Evento - 0001 - Salário47150 - Jurídico Corporativo</t>
  </si>
  <si>
    <t>Evento - 1510 - Insuficiência de Saldo47150 - Jurídico Corporativo</t>
  </si>
  <si>
    <t>Evento - 0001 - Salário47159 - Diretoria Jurídica</t>
  </si>
  <si>
    <t>Evento - 0001 - Salário47160 - Jurídico Imobiliário</t>
  </si>
  <si>
    <t>Evento - 8110 - Outros Descontos47160 - Jurídico Imobiliário</t>
  </si>
  <si>
    <t>Evento - 1510 - Insuficiência de Saldo47160 - Jurídico Imobiliário</t>
  </si>
  <si>
    <t>Item Despesa, NF: 65964291916910CANCELADO , Fornecedor: SUL AMERICA COMPANHIA DE SEGURO SAUDE - 01685053000156 , Desc NF: Ticket 325560 , Método Pgmto: BR_BOLETO</t>
  </si>
  <si>
    <t>Item Despesa, NF: 610401726019367474 , Fornecedor: SUL AMERICA ODONTOLOGICO S.A - 11973134000105 , Desc NF: Ticket 325510 , Método Pgmto: BR_BOLETO</t>
  </si>
  <si>
    <t>Item Despesa, NF: 65964291916910 , Fornecedor: SUL AMERICA COMPANHIA DE SEGURO SAUDE - 01685053000156 , Desc NF: Ticket 325560 , Método Pgmto: BR_BOLETO</t>
  </si>
  <si>
    <t>Item Despesa, NF: 776 , Fornecedor: RIBEIRO PINTO ADVOGADOS ASSOCIADOS - 04612076000129 , Desc NF: Ticket #322204 , Método Pgmto: BR_EFT</t>
  </si>
  <si>
    <t>Item Despesa, NF: 775 , Fornecedor: RIBEIRO PINTO ADVOGADOS ASSOCIADOS - 04612076000129 , Desc NF: Ticket #322202 , Método Pgmto: BR_EFT</t>
  </si>
  <si>
    <t>Item Despesa, NF: 5690644 , Fornecedor: ALELO INSTITUICAO DE PAGAMENTO SA - 04740876000125 , Desc NF: Ticket #322382 , Método Pgmto: BR_BOLETO</t>
  </si>
  <si>
    <t>Item Despesa, NF: 5148 , Fornecedor: C LIMA SERVICOS LTDA - 04385911000135 , Desc NF: Ticket #322134 , Método Pgmto: BR_EFT</t>
  </si>
  <si>
    <t>Item Despesa, NF: 52026 , Fornecedor: ITAU UNIBANCO HOLDING S.A. - 60872504000123 , Desc NF: Ticket #325250 - CARTÃO CRÉDITO FACILITIES , Método Pgmto: BR_BOLETO</t>
  </si>
  <si>
    <t>Item Despesa, NF: 403085 , Fornecedor: RB REDE DE BENEFICIOS E GESTAO EMPRESARIAL LTDA - 00342669000161 , Desc NF: Ticket #323647 - BAIXA ADTO3437915 , Método Pgmto: BR_BOLETO</t>
  </si>
  <si>
    <t>Item Despesa, NF: 5554082 , Fornecedor: ALELO INSTITUICAO DE PAGAMENTO SA - 04740876000125 , Desc NF: Ticket #322461 , Método Pgmto: BR_BOLETO</t>
  </si>
  <si>
    <t>Item Despesa, NF: 88199 , Fornecedor: COPAGEL COPIAS E IMPRESSOES LTDA - 47678263000118 , Desc NF: Ticket #322491 , Método Pgmto: BR_EFT</t>
  </si>
  <si>
    <t>Item Despesa, NF: 55493 , Fornecedor: RB REDE DE BENEFICIOS E GESTAO EMPRESARIAL LTDA - 00342669000161 , Desc NF: Ticket #318483 - BAIXA ADTO3437915 , Método Pgmto: BR_BOLETO</t>
  </si>
  <si>
    <t>Item Despesa, NF: 5202666 , Fornecedor: ITAU UNIBANCO HOLDING S.A. - 60872504000123 , Desc NF:  Ticket #325672 - CARTÃO DE CRÉDITO. VOLL , Método Pgmto: BR_BOLETO</t>
  </si>
  <si>
    <t>Item Despesa, NF: 326039 , Fornecedor: 30 TABELIÃO DE NOTAS DA CAPITAL - 45576691000104 , Desc NF: Ticket 326039 , Método Pgmto: BR_EFT</t>
  </si>
  <si>
    <t>Item Despesa, NF: 1260519390398918 , Fornecedor: CAIXA ECONOMICA FEDERAL , Desc NF:  , Método Pgmto: BR_TAX_BARCODE</t>
  </si>
  <si>
    <t>Evento - T110 - Provisão de INSS de Férias - Mês</t>
  </si>
  <si>
    <t>Item Despesa, NF: 97295418 , Fornecedor: VR BENEFICIOS E SERVICOS DE PROCESSAMENTO S.A - 02535864000133 , Desc NF:  Ticket #326894 - DEBITO AUTOMATICO , Método Pgmto: BR_BOLETO</t>
  </si>
  <si>
    <t>- AMORTIZACAO DAS PARCELAS SEGUROS 05 2026 /47150 - JURIDICO CORPORATIVO / 4701150</t>
  </si>
  <si>
    <t>Evento - 5725 - Vale Transporte47150 - Jurídico Corporativo</t>
  </si>
  <si>
    <t>Evento - 5530 - Contribuição Assistencial47150 - Jurídico Corporativo</t>
  </si>
  <si>
    <t>Evento - 5530 - Contribuição Assistencial47159 - Diretoria Jurídica</t>
  </si>
  <si>
    <t>Evento - 5530 - Contribuição Assistencial47160 - Jurídico Imobiliário</t>
  </si>
  <si>
    <t>Evento - 8030 - Assistência Médica47150 - Jurídico Corporativo</t>
  </si>
  <si>
    <t>Evento - 8030 - Assistência Médica47159 - Diretoria Jurídica</t>
  </si>
  <si>
    <t>Evento - 8030 - Assistência Médica47160 - Jurídico Imobiliário</t>
  </si>
  <si>
    <t>Evento - 8086 - Assistência Médica Dependente47160 - Jurídico Imobiliário</t>
  </si>
  <si>
    <t>Evento - 8040 - Vale Refeição47150 - Jurídico Corporativo</t>
  </si>
  <si>
    <t>Evento - B410 - FGTS Salário47150 - Jurídico Corporativo</t>
  </si>
  <si>
    <t>Evento - B410 - FGTS Salário47159 - Diretoria Jurídica</t>
  </si>
  <si>
    <t>Evento - B410 - FGTS Salário47160 - Jurídico Imobiliário</t>
  </si>
  <si>
    <t>Item Despesa, NF: REEMB#000146279744 , Fornecedor: Victor Vasconcelos Miranda , Desc NF:  , Método Pgmto: BR_EFT</t>
  </si>
  <si>
    <t>Item Despesa, NF: 653969 , Fornecedor: SERASA S.A. - 62173620009306 , Desc NF:  Ticket #321152 , Método Pgmto: BR_BOLETO</t>
  </si>
  <si>
    <t>Item Despesa, NF: 655953 , Fornecedor: SERASA S.A. - 62173620009306 , Desc NF: Ticket #321153 , Método Pgmto: BR_BOLETO</t>
  </si>
  <si>
    <t>Item Despesa, NF: REEMB#000147017465 , Fornecedor: Cesar Matos Silva , Desc NF: reembolso - pedágio , Método Pgmto: BR_EFT</t>
  </si>
  <si>
    <t>Item Despesa, NF: REEMB#000147017452 , Fornecedor: Cesar Matos Silva , Desc NF: reembolso , Método Pgmto: BR_EFT</t>
  </si>
  <si>
    <t>Evento - T115 - Provisão Desoneração Inss Férias-Mês</t>
  </si>
  <si>
    <t>Evento - T120 - Provisão de FGTS de Férias - Mês</t>
  </si>
  <si>
    <t>Evento - 0305 - Aviso Prévio Indenizado(s/inss)47150 - Jurídico Corporativo</t>
  </si>
  <si>
    <t>Item Despesa, NF: 97295419 , Fornecedor: VR BENEFICIOS E SERVICOS DE PROCESSAMENTO S.A - 02535864000133 , Desc NF: Ticket #326894 - DEBITO AUTOMATICO , Método Pgmto: BR_BOLETO</t>
  </si>
  <si>
    <t>Evento - B074 - GPS Salário Acidente de Trabalho47150 - Jurídico Corporativo</t>
  </si>
  <si>
    <t>Evento - B076 - GPS Salário Terceiros 5.8047150 - Jurídico Corporativo</t>
  </si>
  <si>
    <t>Evento - B072 - GPS Salário Empresa 20,00%47150 - Jurídico Corporativo</t>
  </si>
  <si>
    <t>Evento - B141 - Valor GPS Desonerada47150 - Jurídico Corporativo</t>
  </si>
  <si>
    <t>Item Despesa, NF: 380 , Fornecedor: RDM TECHNOLOGY LTDA - 44455778000160 , Desc NF: Ticket #324013 , Método Pgmto: BR_EFT</t>
  </si>
  <si>
    <t>Item Despesa, NF: 2602500989 , Fornecedor: JUNTA COMERCIAL DO PARANA - 77968170000199 , Desc NF: Ticket #326666 , Método Pgmto: BR_BOLETO</t>
  </si>
  <si>
    <t>Item Despesa, NF: 260590112288344 , Fornecedor: SECRETARIA DA FAZENDA E PLANEJAMENTO - 46377222000129 , Desc NF:  Ticket #326665 , Método Pgmto: BR_BOLETO</t>
  </si>
  <si>
    <t>Item Despesa, NF: 55747 , Fornecedor: PWD SAUDE E SEGURANCA OCUPACIONAL LTDA - 20998877000120 , Desc NF: Ticket #322818 , Método Pgmto: BR_BOLETO</t>
  </si>
  <si>
    <t>Item Despesa, NF: 260590113797286 , Fornecedor: SECRETARIA DA FAZENDA E PLANEJAMENTO - 46377222000129 , Desc NF: Ticket #326755 , Método Pgmto: BR_BOLETO</t>
  </si>
  <si>
    <t>Evento - B074 - GPS Salário Acidente de Trabalho47159 - Diretoria Jurídica</t>
  </si>
  <si>
    <t>Evento - B076 - GPS Salário Terceiros 5.8047159 - Diretoria Jurídica</t>
  </si>
  <si>
    <t>Evento - B072 - GPS Salário Empresa 20,00%47159 - Diretoria Jurídica</t>
  </si>
  <si>
    <t>Evento - B141 - Valor GPS Desonerada47159 - Diretoria Jurídica</t>
  </si>
  <si>
    <t>Evento - B074 - GPS Salário Acidente de Trabalho47160 - Jurídico Imobiliário</t>
  </si>
  <si>
    <t>Evento - B076 - GPS Salário Terceiros 5.8047160 - Jurídico Imobiliário</t>
  </si>
  <si>
    <t>Evento - B072 - GPS Salário Empresa 20,00%47160 - Jurídico Imobiliário</t>
  </si>
  <si>
    <t>Evento - B141 - Valor GPS Desonerada47160 - Jurídico Imobiliário</t>
  </si>
  <si>
    <t>Frete, NF: 49508-1-20260511-15341234000170 , Fornecedor: PAO E TALHO SANDUICHERIA LTDA - 15341234000170 , Desc NF:  Ticket #325918</t>
  </si>
  <si>
    <t>Imposto a recuperar, NF: 49508-1-20260511-15341234000170 , Fornecedor: PAO E TALHO SANDUICHERIA LTDA - 15341234000170 , Desc NF:  Ticket #325918</t>
  </si>
  <si>
    <t>Item Despesa, NF: 49508-1-20260511-15341234000170 , Fornecedor: PAO E TALHO SANDUICHERIA LTDA - 15341234000170 , Desc NF:  Ticket #325918 , Método Pgmto: BR_BOLETO</t>
  </si>
  <si>
    <t>Item Despesa, NF: 4493 , Fornecedor: REIS, SOUZA, TAKEISHI &amp; ARSUFFI SOCIEDADE DE ADVOGADOS - 09639999000198 , Desc NF: Ticket #323551 , Método Pgmto: BR_EFT</t>
  </si>
  <si>
    <t>Item Despesa, NF: 28152990105099724 , Fornecedor: SERVICO NACIONAL DE APRENDIZAGEM INDUSTRIAL SENAI - 33564543000190 , Desc NF:  , Método Pgmto: BR_BOLETO</t>
  </si>
  <si>
    <t>Item Despesa, NF: 260590109518983 , Fornecedor: SECRETARIA DA FAZENDA E PLANEJAMENTO - 46377222000129 , Desc NF: Ticket #326155 , Método Pgmto: BR_BOLETO</t>
  </si>
  <si>
    <t>Item Despesa, NF: 325098CANCELADO , Fornecedor: VICTOR VASCONCELOS MIRANDA - 07203917410 , Desc NF: ticket 325098 , Método Pgmto: BR_EFT</t>
  </si>
  <si>
    <t>Item Despesa, NF: 779 , Fornecedor: RIBEIRO PINTO ADVOGADOS ASSOCIADOS - 04612076000129 , Desc NF: Ticket #326158 , Método Pgmto: BR_EFT</t>
  </si>
  <si>
    <t>Item Despesa, NF: 778 , Fornecedor: RIBEIRO PINTO ADVOGADOS ASSOCIADOS - 04612076000129 , Desc NF: Ticket #326157 , Método Pgmto: BR_EFT</t>
  </si>
  <si>
    <t>Item Despesa, NF: REEMB#000142163809 , Fornecedor: Natalia Carvalheiro Malta , Desc NF: Encontro de Engenharia , Método Pgmto: BR_EFT</t>
  </si>
  <si>
    <t>Item Despesa, NF: 194120 , Fornecedor: UBER DO BRASIL TECNOLOGIA LTDA. - 17895646000187 , Desc NF: Ticket #326559 , Método Pgmto: BR_BOLETO</t>
  </si>
  <si>
    <t>Item Despesa, NF: 321630 , Fornecedor: ALMEIDA, ROTENBERG E BOSCOLI - SOCIEDADE DE ADVOGADOS - 61074555000172 , Desc NF: Ticket #324545 , Método Pgmto: BR_BOLETO</t>
  </si>
  <si>
    <t>Item Despesa, NF: 321632 , Fornecedor: ALMEIDA, ROTENBERG E BOSCOLI - SOCIEDADE DE ADVOGADOS - 61074555000172 , Desc NF: Ticket #324548 , Método Pgmto: BR_BOLETO</t>
  </si>
  <si>
    <t>Item Despesa, NF: 321631 , Fornecedor: ALMEIDA, ROTENBERG E BOSCOLI - SOCIEDADE DE ADVOGADOS - 61074555000172 , Desc NF: Ticket #324546 , Método Pgmto: BR_BOLETO</t>
  </si>
  <si>
    <t>Item Despesa, NF: 321628 , Fornecedor: ALMEIDA, ROTENBERG E BOSCOLI - SOCIEDADE DE ADVOGADOS - 61074555000172 , Desc NF: Ticket #324544 , Método Pgmto: BR_BOLETO</t>
  </si>
  <si>
    <t>Item Despesa, NF: 321627 , Fornecedor: ALMEIDA, ROTENBERG E BOSCOLI - SOCIEDADE DE ADVOGADOS - 61074555000172 , Desc NF: Ticket #324539 , Método Pgmto: BR_BOLETO</t>
  </si>
  <si>
    <t>Item Despesa, NF: 321629 , Fornecedor: ALMEIDA, ROTENBERG E BOSCOLI - SOCIEDADE DE ADVOGADOS - 61074555000172 , Desc NF: Ticket #324543 , Método Pgmto: BR_BOLETO</t>
  </si>
  <si>
    <t>Item Despesa, NF: 326400 , Fornecedor: ESTADO DE MATO GROSSO - 03507415000578 , Desc NF: TICKET 326400 , Método Pgmto: BR_BOLETO</t>
  </si>
  <si>
    <t>Item Despesa, NF: 325098 , Fornecedor: VICTOR VASCONCELOS MIRANDA - 07203917410 , Desc NF: TICKET 325098 , Método Pgmto: BR_EFT</t>
  </si>
  <si>
    <t>PROV GRATIFICAÇÃO / BONIFICAÇÃO REF C.C 4701150</t>
  </si>
  <si>
    <t>PROV GRATIFICAÇÃO / BONIFICAÇÃO REF C.C 4701159</t>
  </si>
  <si>
    <t>PROV GRATIFICAÇÃO / BONIFICAÇÃO REF C.C 4701160</t>
  </si>
  <si>
    <t>Evento - T100 - Provisão de Férias - Mês</t>
  </si>
  <si>
    <t>- AMORTIZACAO DAS PARCELAS SEGUROS 05 2026 /47151 - Provis�es JurIdicas. / 4701151</t>
  </si>
  <si>
    <t>Mês</t>
  </si>
  <si>
    <t xml:space="preserve">ASSISTÊNCIA MÉDICA </t>
  </si>
  <si>
    <t>3 Colaboradores</t>
  </si>
  <si>
    <t xml:space="preserve">Despesas com Serviços Gráficos </t>
  </si>
  <si>
    <t>16 Colaboradores</t>
  </si>
  <si>
    <t>11 Colaboradores</t>
  </si>
  <si>
    <t>Monitoramentos/Consultas - Serasa</t>
  </si>
  <si>
    <t>6k para ONR e 15k para DOCKET por mês</t>
  </si>
  <si>
    <t>Taxas, consultas administrativas</t>
  </si>
  <si>
    <t>Carla Blanco - advogada terceiraza</t>
  </si>
  <si>
    <t>Contratação advogado in loco nos registros</t>
  </si>
  <si>
    <t>Consultoria - Contratos Reforma Tributária</t>
  </si>
  <si>
    <t>Manutenção de Veículo Frota</t>
  </si>
  <si>
    <t>2 Veículos</t>
  </si>
  <si>
    <t xml:space="preserve">Livro /palestra Jurídico / Enquadramento de Certificado Jurídico com Tribunal de Justiça </t>
  </si>
  <si>
    <t>implantação de softwares, datajuri, dashboard, da-justi</t>
  </si>
  <si>
    <t>material gráfico - desenvolvimento legal design - pareceres - infográficos</t>
  </si>
  <si>
    <t>despesas com cartórios - AF, Certidões registros Contratos</t>
  </si>
  <si>
    <t>Societário  - Atos - Despachante, registros etc..</t>
  </si>
  <si>
    <t>Despesas com perícias de vícios construtivos e contratação de assistentes técnicos</t>
  </si>
  <si>
    <t>Honorários de êxito e escritórios para operações societárias ( Tozzinii, Serur, SF, MF, Saulo e Heitor)</t>
  </si>
  <si>
    <t>Ajuste de base de honorários considerando o volume de processos e os escritórios envolvidosl</t>
  </si>
  <si>
    <t>Descrição (Observação Área)</t>
  </si>
  <si>
    <t>Credor (Fornecedor)</t>
  </si>
  <si>
    <t>Total Orçamento 2026</t>
  </si>
  <si>
    <t>Orçamento 2026 - G&amp;A e Outras Despesas</t>
  </si>
  <si>
    <t>Total Geral</t>
  </si>
  <si>
    <t>Itens</t>
  </si>
  <si>
    <t xml:space="preserve"> </t>
  </si>
  <si>
    <t>Evento - 5725 - Vale Transporte , Janeiro , 47150 - Jurídico Corporativo , 4701150</t>
  </si>
  <si>
    <t>Evento - T120 - Provisão de FGTS de Férias - Mês , Janeiro , 47150 - Jurídico Corporativo , 4701150</t>
  </si>
  <si>
    <t>Evento - T120 - Provisão de FGTS de Férias - Mês , Janeiro , 47159 - Diretoria Jurídica , 4701159</t>
  </si>
  <si>
    <t>Evento - T120 - Provisão de FGTS de Férias - Mês , Janeiro , 47160 - Jurídico Imobiliário , 4701160</t>
  </si>
  <si>
    <t>Evento - B074 - GPS Salário Acidente de Trabalho 2.6712% , Janeiro , 47150 - Jurídico Corporativo , 4701150</t>
  </si>
  <si>
    <t>Evento - B074 - GPS Salário Acidente de Trabalho 2.7516% , Janeiro , 47150 - Jurídico Corporativo , 4701150</t>
  </si>
  <si>
    <t>Evento - B076 - GPS Salário Terceiros 5.80% , Janeiro , 47150 - Jurídico Corporativo , 4701150</t>
  </si>
  <si>
    <t>Evento - B074 - GPS Salário Acidente de Trabalho 2.7516% , Janeiro , 47159 - Diretoria Jurídica , 4701159</t>
  </si>
  <si>
    <t>Evento - B076 - GPS Salário Terceiros 5.80% , Janeiro , 47159 - Diretoria Jurídica , 4701159</t>
  </si>
  <si>
    <t>Evento - B074 - GPS Salário Acidente de Trabalho 2.6712% , Janeiro , 47160 - Jurídico Imobiliário , 4701160</t>
  </si>
  <si>
    <t>Evento - B074 - GPS Salário Acidente de Trabalho 2.7516% , Janeiro , 47160 - Jurídico Imobiliário , 4701160</t>
  </si>
  <si>
    <t>Evento - B076 - GPS Salário Terceiros 5.80% , Janeiro , 47160 - Jurídico Imobiliário , 4701160</t>
  </si>
  <si>
    <t>Item Despesa, NF: 91017932 , Fornecedor: VR BENEFICIOS E SERVICOS DE PROCESSAMENTO S.A - 02535864000133 , Desc NF: Ticket #296561 BAIXA  , Método Pgmto: BR_BOLETO</t>
  </si>
  <si>
    <t>Evento - 8030 - Assistência Médica , Janeiro , 47150 - Jurídico Corporativo , 4701150</t>
  </si>
  <si>
    <t>Evento - 8086 - Assistência Médica Dependente , Janeiro , 47150 - Jurídico Corporativo , 4701150</t>
  </si>
  <si>
    <t>Evento - 8030 - Assistência Médica , Janeiro , 47159 - Diretoria Jurídica , 4701159</t>
  </si>
  <si>
    <t>Evento - 8030 - Assistência Médica , Janeiro , 47160 - Jurídico Imobiliário , 4701160</t>
  </si>
  <si>
    <t>Evento - 8086 - Assistência Médica Dependente , Janeiro , 47160 - Jurídico Imobiliário , 4701160</t>
  </si>
  <si>
    <t>Evento - T100 - Provisão de Férias - Mês , Janeiro , 47150 - Jurídico Corporativo , 4701150</t>
  </si>
  <si>
    <t>Evento - T100 - Provisão de Férias - Mês , Janeiro , 47159 - Diretoria Jurídica , 4701159</t>
  </si>
  <si>
    <t>Evento - T100 - Provisão de Férias - Mês , Janeiro , 47160 - Jurídico Imobiliário , 4701160</t>
  </si>
  <si>
    <t>Evento - 5530 - Contribuição Assistencial , Janeiro , 47150 - Jurídico Corporativo , 4701150</t>
  </si>
  <si>
    <t>Evento - 5530 - Contribuição Assistencial , Janeiro , 47159 - Diretoria Jurídica , 4701159</t>
  </si>
  <si>
    <t>Evento - 5530 - Contribuição Assistencial , Janeiro , 47160 - Jurídico Imobiliário , 4701160</t>
  </si>
  <si>
    <t>Rateio INSS Patronal 01.2026 -  47150 - Jurídico Corporativo</t>
  </si>
  <si>
    <t>Rateio INSS Patronal 01.2026 -  47159 - Diretoria Jurídica</t>
  </si>
  <si>
    <t>Rateio INSS Patronal 01.2026 -  47160 - Jurídico Imobiliário</t>
  </si>
  <si>
    <t>Evento - T200 - Provisão de 13o. Salário - Mês , Janeiro , 47150 - Jurídico Corporativo , 4701150</t>
  </si>
  <si>
    <t>Evento - T200 - Provisão de 13o. Salário - Mês , Janeiro , 47159 - Diretoria Jurídica , 4701159</t>
  </si>
  <si>
    <t>Evento - T200 - Provisão de 13o. Salário - Mês , Janeiro , 47160 - Jurídico Imobiliário , 4701160</t>
  </si>
  <si>
    <t>Evento - B410 - FGTS Salário , Janeiro , 47150 - Jurídico Corporativo , 4701150</t>
  </si>
  <si>
    <t>Evento - B410 - FGTS Salário , Janeiro , 47159 - Diretoria Jurídica , 4701159</t>
  </si>
  <si>
    <t>Evento - B410 - FGTS Salário , Janeiro , 47160 - Jurídico Imobiliário , 4701160</t>
  </si>
  <si>
    <t>Evento - T110 - Provisão de INSS de Férias - Mês , Janeiro , 47150 - Jurídico Corporativo , 4701150</t>
  </si>
  <si>
    <t>Evento - T110 - Provisão de INSS de Férias - Mês , Janeiro , 47159 - Diretoria Jurídica , 4701159</t>
  </si>
  <si>
    <t>Evento - T110 - Provisão de INSS de Férias - Mês , Janeiro , 47160 - Jurídico Imobiliário , 4701160</t>
  </si>
  <si>
    <t>Evento - 1510 - Insuficiência de Saldo , Janeiro , 47150 - Jurídico Corporativo , 4701150</t>
  </si>
  <si>
    <t>Evento - 0001 - Salário , Janeiro , 47150 - Jurídico Corporativo , 4701150</t>
  </si>
  <si>
    <t>Evento - 7010 - Insuficiência de Saldo , Janeiro , 47150 - Jurídico Corporativo , 4701150</t>
  </si>
  <si>
    <t>Evento - 0001 - Salário , Janeiro , 47159 - Diretoria Jurídica , 4701159</t>
  </si>
  <si>
    <t>Evento - 0001 - Salário , Janeiro , 47160 - Jurídico Imobiliário , 4701160</t>
  </si>
  <si>
    <t>Item Despesa, NF: 28152990105076604 , Fornecedor: SERVICO NACIONAL DE APRENDIZAGEM INDUSTRIAL SENAI - 33564543000190 , Desc NF:  , Método Pgmto: BR_BOLETO</t>
  </si>
  <si>
    <t>Item Despesa, NF: 28152990105076605 , Fornecedor: SERVICO NACIONAL DE APRENDIZAGEM INDUSTRIAL SENAI - 33564543000190 , Desc NF:  , Método Pgmto: BR_BOLETO</t>
  </si>
  <si>
    <t>Item Despesa, NF: 85173402088 , Fornecedor: CAIXA VIDA E PREVIDENCIA S/A - 03730204000176 , Desc NF:  Ticket #301112 , Método Pgmto: BR_BOLETO</t>
  </si>
  <si>
    <t>Item Despesa, NF: 542343 , Fornecedor: ALELO INSTITUICAO DE PAGAMENTO SA - 04740876000125 , Desc NF: Ticket #299406 , Método Pgmto: BR_BOLETO</t>
  </si>
  <si>
    <t>Item Despesa, NF: 92477407 , Fornecedor: VR BENEFICIOS E SERVICOS DE PROCESSAMENTO S.A - 02535864000133 , Desc NF: Ticket #301626 - REGULARIZAÇÃO VR , Método Pgmto: BR_BOLETO</t>
  </si>
  <si>
    <t>Item Despesa, NF: 92477408 , Fornecedor: VR BENEFICIOS E SERVICOS DE PROCESSAMENTO S.A - 02535864000133 , Desc NF: Ticket #301625 - REGULARIZAÇÃO VR , Método Pgmto: BR_BOLETO</t>
  </si>
  <si>
    <t>Item Despesa, NF: 4285 , Fornecedor: REIS, SOUZA, TAKEISHI &amp; ARSUFFI SOCIEDADE DE ADVOGADOS - 09639999000198 , Desc NF: Ticket 301684 , Método Pgmto: BR_EFT</t>
  </si>
  <si>
    <t>Item Despesa, NF: 260590020076084 , Fornecedor: SECRETARIA DA FAZENDA E PLANEJAMENTO - 46377222000129 , Desc NF: Ticket 302131 , Método Pgmto: BR_BOLETO</t>
  </si>
  <si>
    <t>Item Despesa, NF: REEMB#000120070748 , Fornecedor: Victor Vasconcelos Miranda , Desc NF:  , Método Pgmto: BR_EFT</t>
  </si>
  <si>
    <t>Item Despesa, NF: 301128 , Fornecedor: 7 REGISTRO CIVIL DAS PESSOAS NATURAIS SUBDISTRITO CONSOLACAO - 59882800000126 , Desc NF: Ticket #301128 , Método Pgmto: BR_EFT</t>
  </si>
  <si>
    <t>Item Despesa, NF: 382504 , Fornecedor: RB REDE DE BENEFICIOS E GESTAO EMPRESARIAL LTDA - 00342669000161 , Desc NF: Ticket 298588 - Abatimento ADTO3300907 , Método Pgmto: BR_BOLETO</t>
  </si>
  <si>
    <t>Item Despesa, NF: 35274 , Fornecedor: RB REDE DE BENEFICIOS E GESTAO EMPRESARIAL LTDA - 00342669000161 , Desc NF: Ticket 298588 - Abatimento ADTO3300907 , Método Pgmto: BR_BOLETO</t>
  </si>
  <si>
    <t>Imposto a recuperar, NF: 11544-1-20260123-56060414000160 , Fornecedor: MAKE A BREAK LTDA - 56060414000160 , Desc NF: Ticket #301436</t>
  </si>
  <si>
    <t>Frete, NF: 11544-1-20260123-56060414000160 , Fornecedor: MAKE A BREAK LTDA - 56060414000160 , Desc NF: Ticket #301436</t>
  </si>
  <si>
    <t>Item Despesa, NF: 11544-1-20260123-56060414000160 , Fornecedor: MAKE A BREAK LTDA - 56060414000160 , Desc NF: Ticket #301436 , Método Pgmto: BR_EFT</t>
  </si>
  <si>
    <t>Item Despesa, NF: 260590020611790 , Fornecedor: SECRETARIA DA FAZENDA E PLANEJAMENTO - 46377222000129 , Desc NF: Ticket 301878 , Método Pgmto: BR_BOLETO</t>
  </si>
  <si>
    <t>Item Despesa, NF: 1064 , Fornecedor: UBER DO BRASIL TECNOLOGIA LTDA. - 17895646000187 , Desc NF: Ticket #301230 , Método Pgmto: BR_BOLETO</t>
  </si>
  <si>
    <t>Item Despesa, NF: 700021740600 , Fornecedor: UNIDAS LOCACOES E SERVICOS S/A - 75609123000123 , Desc NF: Ticket #301232 , Método Pgmto: BR_BOLETO</t>
  </si>
  <si>
    <t>Item Despesa, NF: 65964282766370 , Fornecedor: SUL AMERICA COMPANHIA DE SEGURO SAUDE - 01685053000156 , Desc NF: Ticket #300053 , Método Pgmto: BR_BOLETO</t>
  </si>
  <si>
    <t>Item Despesa, NF: 306338 , Fornecedor: ALELO INSTITUICAO DE PAGAMENTO SA - 04740876000125 , Desc NF: Ticket #299402 , Método Pgmto: BR_BOLETO</t>
  </si>
  <si>
    <t>Frete, NF: 45689-1-20260107-15341234000170 , Fornecedor: PAO E TALHO SANDUICHERIA LTDA - 15341234000170 , Desc NF: Ticket #299258</t>
  </si>
  <si>
    <t>Imposto a recuperar, NF: 45689-1-20260107-15341234000170 , Fornecedor: PAO E TALHO SANDUICHERIA LTDA - 15341234000170 , Desc NF: Ticket #299258</t>
  </si>
  <si>
    <t>Item Despesa, NF: 45689-1-20260107-15341234000170 , Fornecedor: PAO E TALHO SANDUICHERIA LTDA - 15341234000170 , Desc NF: Ticket #299258 , Método Pgmto: BR_BOLETO</t>
  </si>
  <si>
    <t>Item Despesa, NF: 900036385400 , Fornecedor: UNIDAS LOCACOES E SERVICOS S/A - 75609123000123 , Desc NF: Ticket 301235 , Método Pgmto: BR_BOLETO</t>
  </si>
  <si>
    <t>Item Despesa, NF: 300888 , Fornecedor: CARLA MOROZETTI BLANCO - 25585715836 , Desc NF: TICKET 300888 , Método Pgmto: BR_EFT</t>
  </si>
  <si>
    <t>Item Despesa, NF: 301067 , Fornecedor: 7 REGISTRO CIVIL DAS PESSOAS NATURAIS SUBDISTRITO CONSOLACAO - 59882800000126 , Desc NF:  Ticket #301067 , Método Pgmto: BR_EFT</t>
  </si>
  <si>
    <t>Depreciação / Item Despesa, NF: 700021740600 , Fornecedor: UNIDAS LOCACOES E SERVICOS S/A - 75609123000123 , Desc NF: Ticket #301232 , Método Pgmto: BR_BOLETO</t>
  </si>
  <si>
    <t>Depreciação / Item Despesa, NF: 900036385400 , Fornecedor: UNIDAS LOCACOES E SERVICOS S/A - 75609123000123 , Desc NF: Ticket 301235 , Método Pgmto: BR_BOLETO</t>
  </si>
  <si>
    <t>Evento - T220 - Provisão de FGTS de 13o. Salário  - Mês , Janeiro , 47150 - Jurídico Corporativo , 4701150</t>
  </si>
  <si>
    <t>Evento - T220 - Provisão de FGTS de 13o. Salário  - Mês , Janeiro , 47159 - Diretoria Jurídica , 4701159</t>
  </si>
  <si>
    <t>Evento - T220 - Provisão de FGTS de 13o. Salário  - Mês , Janeiro , 47160 - Jurídico Imobiliário , 4701160</t>
  </si>
  <si>
    <t>Evento - T210 - Provisão de INSS de 13o. Salário - Mês , Janeiro , 47150 - Jurídico Corporativo , 4701150</t>
  </si>
  <si>
    <t>Evento - T210 - Provisão de INSS de 13o. Salário - Mês , Janeiro , 47159 - Diretoria Jurídica , 4701159</t>
  </si>
  <si>
    <t>Evento - T210 - Provisão de INSS de 13o. Salário - Mês , Janeiro , 47160 - Jurídico Imobiliário , 4701160</t>
  </si>
  <si>
    <t>EVENTO B510  FGTS 13o. Salário</t>
  </si>
  <si>
    <t>Item Despesa, NF: 91017931 , Fornecedor: VR BENEFICIOS E SERVICOS DE PROCESSAMENTO S.A - 02535864000133 , Desc NF: Ticket #296562 BAIXA , Método Pgmto: BR_BOLETO</t>
  </si>
  <si>
    <t>Item Despesa, NF: 764 , Fornecedor: RIBEIRO PINTO ADVOGADOS ASSOCIADOS - 04612076000129 , Desc NF: Ticket 299008 , Método Pgmto: BR_EFT</t>
  </si>
  <si>
    <t>Item Despesa, NF: 763 , Fornecedor: RIBEIRO PINTO ADVOGADOS ASSOCIADOS - 04612076000129 , Desc NF: Ticket 299006 , Método Pgmto: BR_EFT</t>
  </si>
  <si>
    <t>Item Despesa, NF: 203781 , Fornecedor: MATTOS FILHO, VEIGA FILHO, MARREY JR. E QUIROGA ADVOGADOS - 67003673000176 , Desc NF: - Ticket #299754 , Método Pgmto: BR_BOLETO</t>
  </si>
  <si>
    <t>Item Despesa, NF: 299853 , Fornecedor: ITAU UNIBANCO HOLDING S.A. - 60872504000123 , Desc NF: Ticket #299853 , Método Pgmto: BR_BOLETO</t>
  </si>
  <si>
    <t>Item Despesa, NF: 299367 , Fornecedor: VICTOR VASCONCELOS MIRANDA - 07203917410 , Desc NF: TICKET 299367 , Método Pgmto: BR_EFT</t>
  </si>
  <si>
    <t>Item Despesa, NF: 299916 , Fornecedor: 30 TABELIÃO DE NOTAS DA CAPITAL - 45576691000104 , Desc NF: TICKET 299916 , Método Pgmto: BR_EFT</t>
  </si>
  <si>
    <t>Item Despesa, NF: 35619 , Fornecedor: R.P.D. - DOCUMENTOS, APOIO EMPRESARIAL E NEGOCIOS LTDA - 23522710000187 , Desc NF: Ticket #300039 , Método Pgmto: BR_BOLETO</t>
  </si>
  <si>
    <t>Item Despesa, NF: 237756 , Fornecedor: LUZ PUBLICIDADE SP SUL LTDA - 50750298000125 , Desc NF: Ticket 298326 , Método Pgmto: BR_EFT</t>
  </si>
  <si>
    <t>Item Despesa, NF: 14546 , Fornecedor: SERASA S.A. - 62173620009306 , Desc NF: Ticket 298575 , Método Pgmto: BR_BOLETO</t>
  </si>
  <si>
    <t>Item Despesa, NF: 14528 , Fornecedor: SERASA S.A. - 62173620009306 , Desc NF: Ticket 298577 , Método Pgmto: BR_BOLETO</t>
  </si>
  <si>
    <t>Item Despesa, NF: 107474 , Fornecedor: VOLL S.A. - 09306896000106 , Desc NF: Ticket 298989 , Método Pgmto: BR_BOLETO</t>
  </si>
  <si>
    <t>Item Despesa, NF: 3941397917 , Fornecedor: 30 TABELIÃO DE NOTAS DA CAPITAL - 45576691000104 , Desc NF: 3941397917 , Método Pgmto: BR_EFT</t>
  </si>
  <si>
    <t>Item Despesa, NF: 610401726018283288 , Fornecedor: SUL AMERICA ODONTOLOGICO S.A - 11973134000105 , Desc NF:  Ticket #300051 , Método Pgmto: BR_BOLETO</t>
  </si>
  <si>
    <t>Item Despesa, NF: 260 , Fornecedor: CONTATO DIARIO LTDA - 03501722000118 , Desc NF: Ticket #297439 , Método Pgmto: BR_EFT</t>
  </si>
  <si>
    <t>Item Despesa, NF: 296699 , Fornecedor: NATHALIA CAROLINE CORREIA GARCIA - 36243676846 , Desc NF: Ticket #296699 - Ref. Reembolso  Pagamento das NF (01/10, 31/10 e 30/11) ref. a plataforma jurídica - JUSBRASIL , Método Pgmto: BR_EFT</t>
  </si>
  <si>
    <t>Item Despesa, NF: 298627 , Fornecedor: FERNANDA WEISSENRIEDER DIAS FERNANDES - 25278845805 , Desc NF: Ticket 298627 , Método Pgmto: BR_EFT</t>
  </si>
  <si>
    <t>Item Despesa, NF: 5001 , Fornecedor: C LIMA SERVICOS LTDA - 04385911000135 , Desc NF: Ticket 298331 , Método Pgmto: BR_EFT</t>
  </si>
  <si>
    <t>- AMORTIZACAO DAS PARCELAS SEGUROS 01 2026 /47151 - Provis�es JurIdicas. / 4701151</t>
  </si>
  <si>
    <t>Evento - 1510 - Insuficiência de Saldo , Fevereiro , 47150 - Jurídico Corporativo , 4701150</t>
  </si>
  <si>
    <t>Evento - 0001 - Salário , Fevereiro , 47150 - Jurídico Corporativo , 4701150</t>
  </si>
  <si>
    <t>Evento - 5725 - Vale Transporte , Fevereiro , 47150 - Jurídico Corporativo , 4701150</t>
  </si>
  <si>
    <t>Evento - T120 - Provisão de FGTS de Férias - Mês , Fevereiro , 47150 - Jurídico Corporativo , 4701150</t>
  </si>
  <si>
    <t>Evento - T120 - Provisão de FGTS de Férias - Mês , Fevereiro , 47159 - Diretoria Jurídica , 4701159</t>
  </si>
  <si>
    <t>Evento - 7010 - Insuficiência de Saldo , Fevereiro , 47150 - Jurídico Corporativo , 4701150</t>
  </si>
  <si>
    <t>Evento - 0001 - Salário , Fevereiro , 47159 - Diretoria Jurídica , 4701159</t>
  </si>
  <si>
    <t>Evento - 0001 - Salário , Fevereiro , 47160 - Jurídico Imobiliário , 4701160</t>
  </si>
  <si>
    <t>Evento - T120 - Provisão de FGTS de Férias - Mês , Fevereiro , 47160 - Jurídico Imobiliário , 4701160</t>
  </si>
  <si>
    <t>Evento - B074 - GPS Salário Acidente de Trabalho 2,7516% , Fevereiro , 47150 - Jurídico Corporativo , 4701150</t>
  </si>
  <si>
    <t>Evento - 8040 - Vale Refeição , Fevereiro , 47150 - Jurídico Corporativo , 4701150</t>
  </si>
  <si>
    <t>Evento - B076 - GPS Salário Terceiros 5,80% , Fevereiro , 47150 - Jurídico Corporativo , 4701150</t>
  </si>
  <si>
    <t>Evento - B074 - GPS Salário Acidente de Trabalho 2.7516% , Fevereiro , 47150 - Jurídico Corporativo , 4701150</t>
  </si>
  <si>
    <t>Evento - B076 - GPS Salário Terceiros 5.80% , Fevereiro , 47150 - Jurídico Corporativo , 4701150</t>
  </si>
  <si>
    <t>Evento - B074 - GPS Salário Acidente de Trabalho 2.7516% , Fevereiro , 47159 - Diretoria Jurídica , 4701159</t>
  </si>
  <si>
    <t>Evento - B076 - GPS Salário Terceiros 5.80% , Fevereiro , 47159 - Diretoria Jurídica , 4701159</t>
  </si>
  <si>
    <t>Evento - B074 - GPS Salário Acidente de Trabalho 2.7516% , Fevereiro , 47160 - Jurídico Imobiliário , 4701160</t>
  </si>
  <si>
    <t>Evento - B076 - GPS Salário Terceiros 5.80% , Fevereiro , 47160 - Jurídico Imobiliário , 4701160</t>
  </si>
  <si>
    <t>Evento - 8030 - Assistência Médica , Fevereiro , 47150 - Jurídico Corporativo , 4701150</t>
  </si>
  <si>
    <t>Evento - 8086 - Assistência Médica Dependente , Fevereiro , 47150 - Jurídico Corporativo , 4701150</t>
  </si>
  <si>
    <t>Evento - 8030 - Assistência Médica , Fevereiro , 47159 - Diretoria Jurídica , 4701159</t>
  </si>
  <si>
    <t>Evento - 8030 - Assistência Médica , Fevereiro , 47160 - Jurídico Imobiliário , 4701160</t>
  </si>
  <si>
    <t>Evento - 8086 - Assistência Médica Dependente , Fevereiro , 47160 - Jurídico Imobiliário , 4701160</t>
  </si>
  <si>
    <t>Evento - T210 - Provisão de INSS de 13o. Salário - Mês , Fevereiro , 47150 - Jurídico Corporativo , 4701150</t>
  </si>
  <si>
    <t>Evento - T210 - Provisão de INSS de 13o. Salário - Mês , Fevereiro , 47159 - Diretoria Jurídica , 4701159</t>
  </si>
  <si>
    <t>Evento - T210 - Provisão de INSS de 13o. Salário - Mês , Fevereiro , 47160 - Jurídico Imobiliário , 4701160</t>
  </si>
  <si>
    <t>Evento - 5530 - Contribuição Assistencial , Fevereiro , 47150 - Jurídico Corporativo , 4701150</t>
  </si>
  <si>
    <t>Acerto ACF Documento: 202500000038327 - FORNECEDO:VOLL S.A 09306896000106</t>
  </si>
  <si>
    <t>Evento - T100 - Provisão de Férias - Mês , Fevereiro , 47150 - Jurídico Corporativo , 4701150</t>
  </si>
  <si>
    <t>Evento - T100 - Provisão de Férias - Mês , Fevereiro , 47159 - Diretoria Jurídica , 4701159</t>
  </si>
  <si>
    <t>Evento - T100 - Provisão de Férias - Mês , Fevereiro , 47160 - Jurídico Imobiliário , 4701160</t>
  </si>
  <si>
    <t>Evento - 5530 - Contribuição Assistencial , Fevereiro , 47160 - Jurídico Imobiliário , 4701160</t>
  </si>
  <si>
    <t>Evento - 5530 - Contribuição Assistencial , Fevereiro , 47159 - Diretoria Jurídica , 4701159</t>
  </si>
  <si>
    <t>Evento - T200 - Provisão de 13o. Salário - Mês , Fevereiro , 47150 - Jurídico Corporativo , 4701150</t>
  </si>
  <si>
    <t>Evento - T200 - Provisão de 13o. Salário - Mês , Fevereiro , 47159 - Diretoria Jurídica , 4701159</t>
  </si>
  <si>
    <t>Evento - T110 - Provisão de INSS de Férias - Mês , Fevereiro , 47150 - Jurídico Corporativo , 4701150</t>
  </si>
  <si>
    <t>Evento - T110 - Provisão de INSS de Férias - Mês , Fevereiro , 47159 - Diretoria Jurídica , 4701159</t>
  </si>
  <si>
    <t>Evento - T110 - Provisão de INSS de Férias - Mês , Fevereiro , 47160 - Jurídico Imobiliário , 4701160</t>
  </si>
  <si>
    <t>Evento - T200 - Provisão de 13o. Salário - Mês , Fevereiro , 47160 - Jurídico Imobiliário , 4701160</t>
  </si>
  <si>
    <t>Evento - B410 - FGTS Salário , Fevereiro , 47150 - Jurídico Corporativo , 4701150</t>
  </si>
  <si>
    <t>Evento - B410 - FGTS Salário , Fevereiro , 47159 - Diretoria Jurídica , 4701159</t>
  </si>
  <si>
    <t>Evento - B410 - FGTS Salário , Fevereiro , 47160 - Jurídico Imobiliário , 4701160</t>
  </si>
  <si>
    <t>Salário INSS Reoneração</t>
  </si>
  <si>
    <t>Item Despesa, NF: 15507 , Fornecedor: UNIDAS LOCACOES E SERVICOS S/A - 75609123000123 , Desc NF: Ticket #307004 , Método Pgmto: BR_BOLETO</t>
  </si>
  <si>
    <t>Depreciação, NF: 15507 , Fornecedor: UNIDAS LOCACOES E SERVICOS S/A - 75609123000123 , Desc NF: Ticket #307004 , Método Pgmto: BR_BOLETO</t>
  </si>
  <si>
    <t>Evento - T220 - Provisão de FGTS de 13o. Salário  - Mês , Fevereiro , 47150 - Jurídico Corporativo , 4701150</t>
  </si>
  <si>
    <t>Evento - T220 - Provisão de FGTS de 13o. Salário  - Mês , Fevereiro , 47159 - Diretoria Jurídica , 4701159</t>
  </si>
  <si>
    <t>Evento - T220 - Provisão de FGTS de 13o. Salário  - Mês , Fevereiro , 47160 - Jurídico Imobiliário , 4701160</t>
  </si>
  <si>
    <t>Item Despesa, NF: 238768 , Fornecedor: LUZ PUBLICIDADE SP SUL LTDA - 50750298000125 , Desc NF:  Ticket #303087 , Método Pgmto: BR_EFT</t>
  </si>
  <si>
    <t>Item Despesa, NF: 5023 , Fornecedor: C LIMA SERVICOS LTDA - 04385911000135 , Desc NF: Ticket #303191 , Método Pgmto: BR_EFT</t>
  </si>
  <si>
    <t>Item Despesa, NF: 115097 , Fornecedor: FERNANDO CARVALHO RIBEIRO FILHO - 47249370000120 , Desc NF: Ticket #303002 , Método Pgmto: BR_BOLETO</t>
  </si>
  <si>
    <t>Item Despesa, NF: 260590026858997 , Fornecedor: SECRETARIA DA FAZENDA E PLANEJAMENTO - 46377222000129 , Desc NF: Ticket #303128 , Método Pgmto: BR_BOLETO</t>
  </si>
  <si>
    <t>Item Despesa, NF: 260590026875940 , Fornecedor: SECRETARIA DA FAZENDA E PLANEJAMENTO - 46377222000129 , Desc NF: Ticket #303130 , Método Pgmto: BR_BOLETO</t>
  </si>
  <si>
    <t>Item Despesa, NF: 260590026882070 , Fornecedor: SECRETARIA DA FAZENDA E PLANEJAMENTO - 46377222000129 , Desc NF: Ticket #303132 , Método Pgmto: BR_BOLETO</t>
  </si>
  <si>
    <t>Item Despesa, NF: 260590026891038 , Fornecedor: SECRETARIA DA FAZENDA E PLANEJAMENTO - 46377222000129 , Desc NF: Ticket #303133 , Método Pgmto: BR_BOLETO</t>
  </si>
  <si>
    <t>Item Despesa, NF: 260590026897469 , Fornecedor: SECRETARIA DA FAZENDA E PLANEJAMENTO - 46377222000129 , Desc NF:  Ticket #303134 , Método Pgmto: BR_BOLETO</t>
  </si>
  <si>
    <t>Item Despesa, NF: 260590026903538 , Fornecedor: SECRETARIA DA FAZENDA E PLANEJAMENTO - 46377222000129 , Desc NF: Ticket #303136 , Método Pgmto: BR_BOLETO</t>
  </si>
  <si>
    <t>Item Despesa, NF: 260590026910360 , Fornecedor: SECRETARIA DA FAZENDA E PLANEJAMENTO - 46377222000129 , Desc NF: Ticket #303137 , Método Pgmto: BR_BOLETO</t>
  </si>
  <si>
    <t>Item Despesa, NF: 260590026916340 , Fornecedor: SECRETARIA DA FAZENDA E PLANEJAMENTO - 46377222000129 , Desc NF: Ticket #303138 , Método Pgmto: BR_BOLETO</t>
  </si>
  <si>
    <t>Item Despesa, NF: 260590026922229 , Fornecedor: SECRETARIA DA FAZENDA E PLANEJAMENTO - 46377222000129 , Desc NF: - Ticket #303139 , Método Pgmto: BR_BOLETO</t>
  </si>
  <si>
    <t>Item Despesa, NF: 260590024058226 , Fornecedor: SECRETARIA DA FAZENDA E PLANEJAMENTO - 46377222000129 , Desc NF: Ticket #302601 , Método Pgmto: BR_BOLETO</t>
  </si>
  <si>
    <t>Item Despesa, NF: 260590024764740 , Fornecedor: SECRETARIA DA FAZENDA E PLANEJAMENTO - 46377222000129 , Desc NF: Ticket #302608 , Método Pgmto: BR_BOLETO</t>
  </si>
  <si>
    <t>Item Despesa, NF: 260590025192551 , Fornecedor: SECRETARIA DA FAZENDA E PLANEJAMENTO - 46377222000129 , Desc NF: Ticket #302609 , Método Pgmto: BR_BOLETO</t>
  </si>
  <si>
    <t>Item Despesa, NF: 302295 , Fornecedor: 7 REGISTRO CIVIL DAS PESSOAS NATURAIS SUBDISTRITO CONSOLACAO - 59882800000126 , Desc NF: Ticket #302295 , Método Pgmto: BR_EFT</t>
  </si>
  <si>
    <t>Item Despesa, NF: 1508 , Fornecedor: CONTATO DIARIO LTDA - 03501722000118 , Desc NF: Ticket #302629 , Método Pgmto: BR_EFT</t>
  </si>
  <si>
    <t>Item Despesa, NF: 387624 , Fornecedor: RB REDE DE BENEFICIOS E GESTAO EMPRESARIAL LTDA - 00342669000161 , Desc NF: Ticket #306428 BAIXA ADTO3328978 , Método Pgmto: BR_BOLETO</t>
  </si>
  <si>
    <t>Item Despesa, NF: 85173462372 , Fornecedor: CAIXA VIDA E PREVIDENCIA S/A - 03730204000176 , Desc NF: Ticket 307364 , Método Pgmto: BR_BOLETO</t>
  </si>
  <si>
    <t>Item Despesa, NF: 4886961 , Fornecedor: SUL AMERICA ODONTOLOGICO S.A - 11973134000105 , Desc NF: Ticket 307362 , Método Pgmto: BR_BOLETO</t>
  </si>
  <si>
    <t>Item Despesa, NF: 40597 , Fornecedor: RB REDE DE BENEFICIOS E GESTAO EMPRESARIAL LTDA - 00342669000161 , Desc NF: Ticket #306428 BAIXA ADTO3328978 , Método Pgmto: BR_BOLETO</t>
  </si>
  <si>
    <t>Item Despesa, NF: 93974875 , Fornecedor: VR BENEFICIOS E SERVICOS DE PROCESSAMENTO S.A - 02535864000133 , Desc NF: Ticket #308056 - DEBITO AUTOM. , Método Pgmto: BR_BOLETO</t>
  </si>
  <si>
    <t>Item Despesa, NF: 93974876 , Fornecedor: VR BENEFICIOS E SERVICOS DE PROCESSAMENTO S.A - 02535864000133 , Desc NF:  Ticket #308055 - DEBITO AUTOM. , Método Pgmto: BR_BOLETO</t>
  </si>
  <si>
    <t>Item Despesa, NF: 1695793 , Fornecedor: ALELO INSTITUICAO DE PAGAMENTO SA - 04740876000125 , Desc NF: Ticket 307126 , Método Pgmto: BR_BOLETO</t>
  </si>
  <si>
    <t>Item Despesa, NF: 28152990105082296 , Fornecedor: SERVICO NACIONAL DE APRENDIZAGEM INDUSTRIAL SENAI - 33564543000190 , Desc NF:  , Método Pgmto: BR_BOLETO</t>
  </si>
  <si>
    <t>Item Despesa, NF: REEMB#000127230146 , Fornecedor: Victor Vasconcelos Miranda , Desc NF:  , Método Pgmto: BR_EFT</t>
  </si>
  <si>
    <t>Item Despesa, NF: 3488 , Fornecedor: UBER DO BRASIL TECNOLOGIA LTDA. - 17895646000187 , Desc NF: Ticket #307465 , Método Pgmto: BR_BOLETO</t>
  </si>
  <si>
    <t>Item Despesa, NF: 260590044289683 , Fornecedor: SECRETARIA DA FAZENDA E PLANEJAMENTO - 46377222000129 , Desc NF: Ticket 307852 , Método Pgmto: BR_BOLETO</t>
  </si>
  <si>
    <t>Item Despesa, NF: 1736523 , Fornecedor: ALELO INSTITUICAO DE PAGAMENTO SA - 04740876000125 , Desc NF:  Ticket #306707 , Método Pgmto: BR_BOLETO</t>
  </si>
  <si>
    <t>Item Despesa, NF: 78 , Fornecedor: STOCCHE, FORBES, PASSARO E CAMPOS SOCIEDADE DE ADVOGADOS - 34986424000199 , Desc NF: Ticket #303370 , Método Pgmto: BR_EFT</t>
  </si>
  <si>
    <t>Item Despesa, NF: 306408 , Fornecedor: 30 TABELIÃO DE NOTAS DA CAPITAL - 45576691000104 , Desc NF: Ticket #306408 , Método Pgmto: BR_EFT</t>
  </si>
  <si>
    <t>Item Despesa, NF: 34961 , Fornecedor: 2 TABELIAO DE NOTAS - 51857563000131 , Desc NF: Ticket #305534 , Método Pgmto: BR_EFT</t>
  </si>
  <si>
    <t>Item Despesa, NF: 4330 , Fornecedor: REIS, SOUZA, TAKEISHI &amp; ARSUFFI SOCIEDADE DE ADVOGADOS - 09639999000198 , Desc NF: Ticket #304307 , Método Pgmto: BR_EFT</t>
  </si>
  <si>
    <t>Item Despesa, NF: REEMB#000124133749 , Fornecedor: Carolina Emanoela Silva de Carvalho , Desc NF: Viagem para entrega de chaves do Empreendimento em Primavera do Leste , Método Pgmto: BR_EFT</t>
  </si>
  <si>
    <t>Item Despesa, NF: 115455 , Fornecedor: EUREKA COWORKING SERVICOS DE ESCRITORIO LTDA. - 31027504000129 , Desc NF: Ticket 305589 , Método Pgmto: BR_EFT</t>
  </si>
  <si>
    <t>Item Despesa, NF: 260590034737239 , Fornecedor: SECRETARIA DA FAZENDA E PLANEJAMENTO - 46377222000129 , Desc NF:  Ticket #305600 , Método Pgmto: BR_BOLETO</t>
  </si>
  <si>
    <t>Item Despesa, NF: 8578 , Fornecedor: VOLL S.A. - 09306896000106 , Desc NF: Ticket #305930 , Método Pgmto: BR_BOLETO</t>
  </si>
  <si>
    <t>Item Despesa, NF: 307378 , Fornecedor: CARLA MOROZETTI BLANCO - 25585715836 , Desc NF: Ticket 307378 , Método Pgmto: BR_EFT</t>
  </si>
  <si>
    <t>PIX RECEBIDO 51800852000102 - 2 Registro de Imóveis de Ribeirão Preto (ONR):Pelo OUT+ :Banco 033 3984 000013002542</t>
  </si>
  <si>
    <t>Item Despesa, NF: REEMB#000123238224 , Fornecedor: Victor Vasconcelos Miranda , Desc NF:  , Método Pgmto: BR_EFT</t>
  </si>
  <si>
    <t>Item Despesa, NF: 65964285238300 , Fornecedor: SUL AMERICA COMPANHIA DE SEGURO SAUDE - 01685053000156 , Desc NF: Ticket 307363 , Método Pgmto: BR_BOLETO</t>
  </si>
  <si>
    <t>Item Despesa, NF: 188802 , Fornecedor: SERASA S.A. - 62173620009306 , Desc NF: Ticket 305061 , Método Pgmto: BR_BOLETO</t>
  </si>
  <si>
    <t>Item Despesa, NF: 36029 , Fornecedor: R.P.D. - DOCUMENTOS, APOIO EMPRESARIAL E NEGOCIOS LTDA - 23522710000187 , Desc NF: Ticket #306409 , Método Pgmto: BR_BOLETO</t>
  </si>
  <si>
    <t>Item Despesa, NF: 766 , Fornecedor: RIBEIRO PINTO ADVOGADOS ASSOCIADOS - 04612076000129 , Desc NF: Ticket 304334 , Método Pgmto: BR_EFT</t>
  </si>
  <si>
    <t>Item Despesa, NF: 164001 , Fornecedor: TOZZINI,FREIRE,TEIXEIRA,E SILVA ADVOGADOS - 48109110000112 , Desc NF: Ticket 304319 , Método Pgmto: BR_EFT</t>
  </si>
  <si>
    <t>Item Despesa, NF: 767 , Fornecedor: RIBEIRO PINTO ADVOGADOS ASSOCIADOS - 04612076000129 , Desc NF: Ticket 304923 , Método Pgmto: BR_EFT</t>
  </si>
  <si>
    <t>Item Despesa, NF: 475 , Fornecedor: SERUR ADVOGADOS - 03003646000110 , Desc NF: Ticket 304325 , Método Pgmto: BR_EFT</t>
  </si>
  <si>
    <t>Item Despesa, NF: 78CANCELADA , Fornecedor: STOCCHE, FORBES, PASSARO E CAMPOS SOCIEDADE DE ADVOGADOS - 34986424000199 , Desc NF: Ticket #303192 , Método Pgmto: BR_EFT</t>
  </si>
  <si>
    <t>Item Despesa, NF: 443 , Fornecedor: BM ASSESSORIA EMPRESARIAL LTDA - 32930743000157 , Desc NF: Ticket #304925 , Método Pgmto: BR_EFT</t>
  </si>
  <si>
    <t>Item Despesa, NF: 1680481 , Fornecedor: ALELO INSTITUICAO DE PAGAMENTO SA - 04740876000125 , Desc NF: Ticket #306864 , Método Pgmto: BR_BOLETO</t>
  </si>
  <si>
    <t>- AMORTIZACAO DAS PARCELAS SEGUROS 02 2026 /47150 - JURIDICO CORPORATIVO</t>
  </si>
  <si>
    <t>Código do Item Orçamentário</t>
  </si>
  <si>
    <t>Descrição do Lançamento</t>
  </si>
  <si>
    <t>PO - jan/26</t>
  </si>
  <si>
    <t>PO - Total 5M</t>
  </si>
  <si>
    <t>Real - jan/26</t>
  </si>
  <si>
    <t>Real - Total 5M</t>
  </si>
  <si>
    <t>Real - mai/26</t>
  </si>
  <si>
    <t>Real - abr/26</t>
  </si>
  <si>
    <t>PO - mai/26</t>
  </si>
  <si>
    <t>PO - abr/26</t>
  </si>
  <si>
    <t>Real - mar/26</t>
  </si>
  <si>
    <t>PO - mar/26</t>
  </si>
  <si>
    <t>Real - fev/26</t>
  </si>
  <si>
    <t>PO - fev/26</t>
  </si>
  <si>
    <t>-</t>
  </si>
  <si>
    <t>Total</t>
  </si>
  <si>
    <t>jan</t>
  </si>
  <si>
    <t>fev</t>
  </si>
  <si>
    <t>mar</t>
  </si>
  <si>
    <t>abr</t>
  </si>
  <si>
    <t>mai</t>
  </si>
  <si>
    <t xml:space="preserve">PO
jan/26 </t>
  </si>
  <si>
    <t xml:space="preserve">Real
jan/26 </t>
  </si>
  <si>
    <t>Desvio
jan/26</t>
  </si>
  <si>
    <t xml:space="preserve">PO
fev/26 </t>
  </si>
  <si>
    <t xml:space="preserve">Real
fev/26 </t>
  </si>
  <si>
    <t xml:space="preserve">Desvio
fev/26 </t>
  </si>
  <si>
    <t xml:space="preserve">PO
mar/26 </t>
  </si>
  <si>
    <t>Real
mar/26</t>
  </si>
  <si>
    <t>Desvio
mar/26</t>
  </si>
  <si>
    <t>Soma de Total</t>
  </si>
  <si>
    <t xml:space="preserve">PO 
abr/26 </t>
  </si>
  <si>
    <t xml:space="preserve">PO
mai/26 </t>
  </si>
  <si>
    <t>PO
Total 5M</t>
  </si>
  <si>
    <t>Real
abr/26</t>
  </si>
  <si>
    <t>Desvio
abr/26</t>
  </si>
  <si>
    <t xml:space="preserve">Real
mai/26 </t>
  </si>
  <si>
    <t>Desvio
mai/26</t>
  </si>
  <si>
    <t>Real
Total 5M</t>
  </si>
  <si>
    <t>Desvio
Total 5M</t>
  </si>
  <si>
    <t>PO</t>
  </si>
  <si>
    <t>Item Orçamentário</t>
  </si>
  <si>
    <t>C.C. Depto</t>
  </si>
  <si>
    <t>Nome Diretora</t>
  </si>
  <si>
    <t xml:space="preserve">Nome Departamento </t>
  </si>
  <si>
    <t>COMPOSIÇÃO DO PO 5M</t>
  </si>
  <si>
    <t>COMPOSIÇÃO DO REALIZADO 5M</t>
  </si>
  <si>
    <t>COMPARATIVO  -  PO 5M X REALIZADO 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</si>
</sst>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3D4C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.5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32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/>
      </bottom>
      <diagonal/>
    </border>
    <border>
      <left/>
      <right/>
      <top style="thin">
        <color theme="0" tint="-4.9989318521683403E-2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/>
      <right/>
      <top/>
      <bottom style="thick">
        <color rgb="FFC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4" fontId="0" fillId="0" borderId="0" xfId="0" applyNumberFormat="1"/>
    <xf numFmtId="0" fontId="2" fillId="2" borderId="0" xfId="0" applyFont="1" applyFill="1"/>
    <xf numFmtId="0" fontId="0" fillId="2" borderId="0" xfId="0" applyFill="1"/>
    <xf numFmtId="14" fontId="3" fillId="3" borderId="0" xfId="0" applyNumberFormat="1" applyFont="1" applyFill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9" fontId="4" fillId="0" borderId="1" xfId="1" applyFont="1" applyFill="1" applyBorder="1" applyAlignment="1">
      <alignment horizontal="center"/>
    </xf>
    <xf numFmtId="0" fontId="2" fillId="3" borderId="0" xfId="0" applyFont="1" applyFill="1"/>
    <xf numFmtId="0" fontId="6" fillId="0" borderId="0" xfId="0" applyFont="1"/>
    <xf numFmtId="4" fontId="5" fillId="4" borderId="2" xfId="0" applyNumberFormat="1" applyFont="1" applyFill="1" applyBorder="1" applyAlignment="1">
      <alignment horizontal="center"/>
    </xf>
    <xf numFmtId="0" fontId="6" fillId="3" borderId="0" xfId="0" applyFont="1" applyFill="1"/>
    <xf numFmtId="4" fontId="5" fillId="7" borderId="0" xfId="0" applyNumberFormat="1" applyFont="1" applyFill="1"/>
    <xf numFmtId="0" fontId="5" fillId="7" borderId="0" xfId="0" applyFont="1" applyFill="1" applyAlignment="1">
      <alignment horizontal="center"/>
    </xf>
    <xf numFmtId="0" fontId="10" fillId="0" borderId="0" xfId="0" applyFont="1"/>
    <xf numFmtId="4" fontId="7" fillId="5" borderId="5" xfId="0" applyNumberFormat="1" applyFont="1" applyFill="1" applyBorder="1" applyAlignment="1">
      <alignment horizontal="centerContinuous"/>
    </xf>
    <xf numFmtId="4" fontId="7" fillId="5" borderId="6" xfId="0" applyNumberFormat="1" applyFont="1" applyFill="1" applyBorder="1" applyAlignment="1">
      <alignment horizontal="centerContinuous"/>
    </xf>
    <xf numFmtId="4" fontId="7" fillId="8" borderId="5" xfId="0" applyNumberFormat="1" applyFont="1" applyFill="1" applyBorder="1" applyAlignment="1">
      <alignment horizontal="centerContinuous"/>
    </xf>
    <xf numFmtId="4" fontId="7" fillId="8" borderId="6" xfId="0" applyNumberFormat="1" applyFont="1" applyFill="1" applyBorder="1" applyAlignment="1">
      <alignment horizontal="centerContinuous"/>
    </xf>
    <xf numFmtId="4" fontId="7" fillId="5" borderId="7" xfId="0" applyNumberFormat="1" applyFont="1" applyFill="1" applyBorder="1" applyAlignment="1">
      <alignment horizontal="centerContinuous"/>
    </xf>
    <xf numFmtId="0" fontId="10" fillId="3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14" fontId="3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4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0" fontId="0" fillId="0" borderId="0" xfId="0" applyAlignment="1">
      <alignment horizontal="left"/>
    </xf>
    <xf numFmtId="17" fontId="0" fillId="0" borderId="0" xfId="0" applyNumberFormat="1"/>
    <xf numFmtId="4" fontId="2" fillId="0" borderId="0" xfId="0" applyNumberFormat="1" applyFont="1" applyAlignment="1">
      <alignment horizontal="center"/>
    </xf>
    <xf numFmtId="4" fontId="4" fillId="7" borderId="4" xfId="0" applyNumberFormat="1" applyFont="1" applyFill="1" applyBorder="1"/>
    <xf numFmtId="4" fontId="4" fillId="7" borderId="4" xfId="0" applyNumberFormat="1" applyFont="1" applyFill="1" applyBorder="1" applyAlignment="1">
      <alignment horizontal="center"/>
    </xf>
    <xf numFmtId="0" fontId="4" fillId="7" borderId="4" xfId="0" applyFont="1" applyFill="1" applyBorder="1"/>
    <xf numFmtId="0" fontId="4" fillId="7" borderId="4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/>
    <xf numFmtId="0" fontId="0" fillId="0" borderId="0" xfId="0" pivotButton="1"/>
    <xf numFmtId="3" fontId="0" fillId="0" borderId="0" xfId="0" applyNumberFormat="1"/>
    <xf numFmtId="0" fontId="0" fillId="11" borderId="0" xfId="0" applyFill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7" borderId="4" xfId="0" applyNumberFormat="1" applyFont="1" applyFill="1" applyBorder="1"/>
    <xf numFmtId="0" fontId="14" fillId="11" borderId="0" xfId="0" applyFont="1" applyFill="1"/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0" fontId="15" fillId="11" borderId="0" xfId="0" applyFont="1" applyFill="1" applyAlignment="1">
      <alignment horizontal="center"/>
    </xf>
    <xf numFmtId="0" fontId="0" fillId="11" borderId="0" xfId="0" applyFill="1" applyAlignment="1">
      <alignment horizontal="right" vertical="center"/>
    </xf>
    <xf numFmtId="0" fontId="0" fillId="13" borderId="0" xfId="0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3" fontId="8" fillId="12" borderId="0" xfId="0" applyNumberFormat="1" applyFont="1" applyFill="1" applyAlignment="1">
      <alignment vertical="center"/>
    </xf>
    <xf numFmtId="3" fontId="8" fillId="13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5" fillId="7" borderId="0" xfId="0" applyFont="1" applyFill="1" applyAlignment="1">
      <alignment horizontal="center" vertical="center"/>
    </xf>
    <xf numFmtId="4" fontId="5" fillId="7" borderId="0" xfId="0" applyNumberFormat="1" applyFont="1" applyFill="1" applyAlignment="1">
      <alignment horizontal="center" vertical="center"/>
    </xf>
    <xf numFmtId="4" fontId="5" fillId="7" borderId="0" xfId="0" applyNumberFormat="1" applyFont="1" applyFill="1" applyAlignment="1">
      <alignment vertical="center"/>
    </xf>
    <xf numFmtId="4" fontId="9" fillId="6" borderId="3" xfId="0" applyNumberFormat="1" applyFont="1" applyFill="1" applyBorder="1" applyAlignment="1">
      <alignment horizontal="center" vertical="center"/>
    </xf>
    <xf numFmtId="4" fontId="9" fillId="6" borderId="4" xfId="0" applyNumberFormat="1" applyFont="1" applyFill="1" applyBorder="1" applyAlignment="1">
      <alignment horizontal="center" vertical="center"/>
    </xf>
    <xf numFmtId="0" fontId="16" fillId="0" borderId="0" xfId="0" pivotButton="1" applyFont="1"/>
    <xf numFmtId="0" fontId="16" fillId="0" borderId="0" xfId="0" applyFont="1"/>
    <xf numFmtId="3" fontId="0" fillId="0" borderId="0" xfId="0" applyNumberFormat="1" applyAlignment="1">
      <alignment horizontal="right" vertical="center"/>
    </xf>
    <xf numFmtId="0" fontId="17" fillId="6" borderId="4" xfId="0" applyFont="1" applyFill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4" fontId="7" fillId="5" borderId="9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left" indent="1"/>
    </xf>
    <xf numFmtId="0" fontId="15" fillId="11" borderId="0" xfId="0" applyFont="1" applyFill="1" applyAlignment="1">
      <alignment horizontal="center" vertical="center"/>
    </xf>
    <xf numFmtId="4" fontId="7" fillId="5" borderId="5" xfId="0" applyNumberFormat="1" applyFont="1" applyFill="1" applyBorder="1" applyAlignment="1">
      <alignment horizontal="center"/>
    </xf>
    <xf numFmtId="4" fontId="7" fillId="5" borderId="6" xfId="0" applyNumberFormat="1" applyFont="1" applyFill="1" applyBorder="1" applyAlignment="1">
      <alignment horizontal="center"/>
    </xf>
    <xf numFmtId="4" fontId="7" fillId="5" borderId="7" xfId="0" applyNumberFormat="1" applyFont="1" applyFill="1" applyBorder="1" applyAlignment="1">
      <alignment horizontal="center"/>
    </xf>
    <xf numFmtId="4" fontId="7" fillId="8" borderId="5" xfId="0" applyNumberFormat="1" applyFont="1" applyFill="1" applyBorder="1" applyAlignment="1">
      <alignment horizontal="center"/>
    </xf>
    <xf numFmtId="4" fontId="7" fillId="8" borderId="6" xfId="0" applyNumberFormat="1" applyFont="1" applyFill="1" applyBorder="1" applyAlignment="1">
      <alignment horizontal="center"/>
    </xf>
    <xf numFmtId="4" fontId="7" fillId="9" borderId="5" xfId="0" applyNumberFormat="1" applyFont="1" applyFill="1" applyBorder="1" applyAlignment="1">
      <alignment horizontal="center"/>
    </xf>
    <xf numFmtId="4" fontId="7" fillId="9" borderId="6" xfId="0" applyNumberFormat="1" applyFont="1" applyFill="1" applyBorder="1" applyAlignment="1">
      <alignment horizontal="center"/>
    </xf>
    <xf numFmtId="4" fontId="7" fillId="9" borderId="7" xfId="0" applyNumberFormat="1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2" fillId="10" borderId="10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67">
    <dxf>
      <font>
        <b/>
        <i val="0"/>
        <color theme="9" tint="-0.499984740745262"/>
      </font>
      <fill>
        <patternFill>
          <bgColor rgb="FFDFE9D9"/>
        </patternFill>
      </fill>
    </dxf>
    <dxf>
      <font>
        <b/>
        <i val="0"/>
        <color rgb="FFC00000"/>
      </font>
      <fill>
        <patternFill>
          <bgColor rgb="FFF9E7E7"/>
        </patternFill>
      </fill>
    </dxf>
    <dxf>
      <font>
        <b/>
        <i val="0"/>
        <color theme="9" tint="-0.499984740745262"/>
      </font>
      <fill>
        <patternFill>
          <bgColor rgb="FFDFE9D9"/>
        </patternFill>
      </fill>
    </dxf>
    <dxf>
      <font>
        <b/>
        <i val="0"/>
        <color theme="9" tint="-0.499984740745262"/>
      </font>
      <fill>
        <patternFill>
          <bgColor rgb="FFDFE9D9"/>
        </patternFill>
      </fill>
    </dxf>
    <dxf>
      <font>
        <b/>
        <i val="0"/>
        <color rgb="FFC00000"/>
      </font>
      <fill>
        <patternFill>
          <bgColor rgb="FFF9E7E7"/>
        </patternFill>
      </fill>
    </dxf>
    <dxf>
      <numFmt numFmtId="3" formatCode="#,##0"/>
    </dxf>
    <dxf>
      <font>
        <color auto="1"/>
      </font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vertical="center"/>
    </dxf>
    <dxf>
      <alignment horizontal="center"/>
    </dxf>
    <dxf>
      <alignment wrapText="1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3162961</xdr:colOff>
      <xdr:row>2</xdr:row>
      <xdr:rowOff>76915</xdr:rowOff>
    </xdr:from>
    <xdr:to>
      <xdr:col>15</xdr:col>
      <xdr:colOff>435427</xdr:colOff>
      <xdr:row>17</xdr:row>
      <xdr:rowOff>148945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5AB8758D-24EC-257C-5261-1D8243E642EF}"/>
            </a:ext>
          </a:extLst>
        </xdr:cNvPr>
        <xdr:cNvGrpSpPr/>
      </xdr:nvGrpSpPr>
      <xdr:grpSpPr>
        <a:xfrm>
          <a:off x="3162961" y="569040"/>
          <a:ext cx="15036591" cy="2866030"/>
          <a:chOff x="5230228" y="646509"/>
          <a:chExt cx="13003136" cy="288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24" name="Pacote Orçamentário">
                <a:extLst>
                  <a:ext uri="{FF2B5EF4-FFF2-40B4-BE49-F238E27FC236}">
                    <a16:creationId xmlns:a16="http://schemas.microsoft.com/office/drawing/2014/main" id="{DF3C4C4C-575E-DEF7-07DE-D77A4A69FAD1}"/>
                  </a:ext>
                </a:extLst>
              </xdr:cNvPr>
              <xdr:cNvGraphicFramePr/>
            </xdr:nvGraphicFramePr>
            <xdr:xfrm>
              <a:off x="9841330" y="646509"/>
              <a:ext cx="3780930" cy="2880000"/>
            </xdr:xfrm>
            <a:graphic>
              <a:graphicData uri="http://schemas.microsoft.com/office/drawing/2010/slicer">
                <sle:slicer xmlns:sle="http://schemas.microsoft.com/office/drawing/2010/slicer" name="Pacote Orçamentár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905409" y="553165"/>
                <a:ext cx="3888629" cy="270331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Nome Departamento  2">
                <a:extLst>
                  <a:ext uri="{FF2B5EF4-FFF2-40B4-BE49-F238E27FC236}">
                    <a16:creationId xmlns:a16="http://schemas.microsoft.com/office/drawing/2014/main" id="{6BF18B6E-06CA-6D26-78C6-D4FB4CB16EA0}"/>
                  </a:ext>
                </a:extLst>
              </xdr:cNvPr>
              <xdr:cNvGraphicFramePr/>
            </xdr:nvGraphicFramePr>
            <xdr:xfrm>
              <a:off x="5230228" y="646509"/>
              <a:ext cx="3779175" cy="2880000"/>
            </xdr:xfrm>
            <a:graphic>
              <a:graphicData uri="http://schemas.microsoft.com/office/drawing/2010/slicer">
                <sle:slicer xmlns:sle="http://schemas.microsoft.com/office/drawing/2010/slicer" name="Nome Departamento 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162961" y="553165"/>
                <a:ext cx="3886824" cy="270331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Item Orçamentário 2">
                <a:extLst>
                  <a:ext uri="{FF2B5EF4-FFF2-40B4-BE49-F238E27FC236}">
                    <a16:creationId xmlns:a16="http://schemas.microsoft.com/office/drawing/2014/main" id="{25012CB4-1BC4-3382-44A2-962E2ABB8AFE}"/>
                  </a:ext>
                </a:extLst>
              </xdr:cNvPr>
              <xdr:cNvGraphicFramePr/>
            </xdr:nvGraphicFramePr>
            <xdr:xfrm>
              <a:off x="14454188" y="646509"/>
              <a:ext cx="3779176" cy="2880000"/>
            </xdr:xfrm>
            <a:graphic>
              <a:graphicData uri="http://schemas.microsoft.com/office/drawing/2010/slicer">
                <sle:slicer xmlns:sle="http://schemas.microsoft.com/office/drawing/2010/slicer" name="Item Orçamentári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649662" y="553165"/>
                <a:ext cx="3886825" cy="270331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167640</xdr:colOff>
      <xdr:row>4</xdr:row>
      <xdr:rowOff>110490</xdr:rowOff>
    </xdr:from>
    <xdr:ext cx="2234787" cy="158938"/>
    <xdr:pic>
      <xdr:nvPicPr>
        <xdr:cNvPr id="2" name="Imagem 1">
          <a:extLst>
            <a:ext uri="{FF2B5EF4-FFF2-40B4-BE49-F238E27FC236}">
              <a16:creationId xmlns:a16="http://schemas.microsoft.com/office/drawing/2014/main" id="{D7641BAD-BD0B-48DB-A287-9BCCF862AD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738"/>
        <a:stretch/>
      </xdr:blipFill>
      <xdr:spPr bwMode="auto">
        <a:xfrm>
          <a:off x="1390650" y="834390"/>
          <a:ext cx="2234787" cy="158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1421855</xdr:colOff>
      <xdr:row>3</xdr:row>
      <xdr:rowOff>90960</xdr:rowOff>
    </xdr:from>
    <xdr:to>
      <xdr:col>5</xdr:col>
      <xdr:colOff>633661</xdr:colOff>
      <xdr:row>17</xdr:row>
      <xdr:rowOff>120150</xdr:rowOff>
    </xdr:to>
    <xdr:grpSp>
      <xdr:nvGrpSpPr>
        <xdr:cNvPr id="506" name="Agrupar 479">
          <a:extLst>
            <a:ext uri="{FF2B5EF4-FFF2-40B4-BE49-F238E27FC236}">
              <a16:creationId xmlns:a16="http://schemas.microsoft.com/office/drawing/2014/main" id="{EE2E490E-6AD1-8C32-3867-A1AE3A43F919}"/>
            </a:ext>
          </a:extLst>
        </xdr:cNvPr>
        <xdr:cNvGrpSpPr/>
      </xdr:nvGrpSpPr>
      <xdr:grpSpPr>
        <a:xfrm>
          <a:off x="1421855" y="583085"/>
          <a:ext cx="10356056" cy="2696190"/>
          <a:chOff x="2491265" y="475773"/>
          <a:chExt cx="8985179" cy="2738381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07" name="Mês 2">
                <a:extLst>
                  <a:ext uri="{FF2B5EF4-FFF2-40B4-BE49-F238E27FC236}">
                    <a16:creationId xmlns:a16="http://schemas.microsoft.com/office/drawing/2014/main" id="{4F5D04E6-1D07-B8B7-BD39-29EC4DE3A352}"/>
                  </a:ext>
                </a:extLst>
              </xdr:cNvPr>
              <xdr:cNvGraphicFramePr/>
            </xdr:nvGraphicFramePr>
            <xdr:xfrm>
              <a:off x="9504994" y="475773"/>
              <a:ext cx="1971450" cy="2738381"/>
            </xdr:xfrm>
            <a:graphic>
              <a:graphicData uri="http://schemas.microsoft.com/office/drawing/2010/slicer">
                <sle:slicer xmlns:sle="http://schemas.microsoft.com/office/drawing/2010/slicer" name="Mês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648500" y="582926"/>
                <a:ext cx="2030226" cy="25275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08" name="Pacote Orçamentário 2">
                <a:extLst>
                  <a:ext uri="{FF2B5EF4-FFF2-40B4-BE49-F238E27FC236}">
                    <a16:creationId xmlns:a16="http://schemas.microsoft.com/office/drawing/2014/main" id="{74599F40-BA5B-081F-B331-B0D084ACCD27}"/>
                  </a:ext>
                </a:extLst>
              </xdr:cNvPr>
              <xdr:cNvGraphicFramePr/>
            </xdr:nvGraphicFramePr>
            <xdr:xfrm>
              <a:off x="4829175" y="475773"/>
              <a:ext cx="2181000" cy="2738381"/>
            </xdr:xfrm>
            <a:graphic>
              <a:graphicData uri="http://schemas.microsoft.com/office/drawing/2010/slicer">
                <sle:slicer xmlns:sle="http://schemas.microsoft.com/office/drawing/2010/slicer" name="Pacote Orçamentári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33277" y="582926"/>
                <a:ext cx="2246024" cy="25275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09" name="Item Orçamentário 1">
                <a:extLst>
                  <a:ext uri="{FF2B5EF4-FFF2-40B4-BE49-F238E27FC236}">
                    <a16:creationId xmlns:a16="http://schemas.microsoft.com/office/drawing/2014/main" id="{43461829-7D6A-A478-2E4A-64E1B7EFC359}"/>
                  </a:ext>
                </a:extLst>
              </xdr:cNvPr>
              <xdr:cNvGraphicFramePr/>
            </xdr:nvGraphicFramePr>
            <xdr:xfrm>
              <a:off x="7167085" y="475773"/>
              <a:ext cx="2181000" cy="2738381"/>
            </xdr:xfrm>
            <a:graphic>
              <a:graphicData uri="http://schemas.microsoft.com/office/drawing/2010/slicer">
                <sle:slicer xmlns:sle="http://schemas.microsoft.com/office/drawing/2010/slicer" name="Item Orçamentári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240889" y="582926"/>
                <a:ext cx="2246024" cy="25275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11" name="Nome Departamento  1">
                <a:extLst>
                  <a:ext uri="{FF2B5EF4-FFF2-40B4-BE49-F238E27FC236}">
                    <a16:creationId xmlns:a16="http://schemas.microsoft.com/office/drawing/2014/main" id="{1AEBD3E4-06A5-0BE5-3C9B-8AB76979E2A8}"/>
                  </a:ext>
                </a:extLst>
              </xdr:cNvPr>
              <xdr:cNvGraphicFramePr/>
            </xdr:nvGraphicFramePr>
            <xdr:xfrm>
              <a:off x="2491265" y="475773"/>
              <a:ext cx="2181000" cy="2738381"/>
            </xdr:xfrm>
            <a:graphic>
              <a:graphicData uri="http://schemas.microsoft.com/office/drawing/2010/slicer">
                <sle:slicer xmlns:sle="http://schemas.microsoft.com/office/drawing/2010/slicer" name="Nome Departamento 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25665" y="582926"/>
                <a:ext cx="2246024" cy="25275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1496777</xdr:colOff>
      <xdr:row>3</xdr:row>
      <xdr:rowOff>73816</xdr:rowOff>
    </xdr:from>
    <xdr:to>
      <xdr:col>5</xdr:col>
      <xdr:colOff>666715</xdr:colOff>
      <xdr:row>17</xdr:row>
      <xdr:rowOff>112531</xdr:rowOff>
    </xdr:to>
    <xdr:grpSp>
      <xdr:nvGrpSpPr>
        <xdr:cNvPr id="188" name="Agrupar 84">
          <a:extLst>
            <a:ext uri="{FF2B5EF4-FFF2-40B4-BE49-F238E27FC236}">
              <a16:creationId xmlns:a16="http://schemas.microsoft.com/office/drawing/2014/main" id="{8DDFA54D-5138-3674-C56B-A505BCDE3936}"/>
            </a:ext>
          </a:extLst>
        </xdr:cNvPr>
        <xdr:cNvGrpSpPr/>
      </xdr:nvGrpSpPr>
      <xdr:grpSpPr>
        <a:xfrm>
          <a:off x="1496777" y="565941"/>
          <a:ext cx="10314188" cy="2705715"/>
          <a:chOff x="2499533" y="543876"/>
          <a:chExt cx="8890104" cy="288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89" name="Nome Departamento ">
                <a:extLst>
                  <a:ext uri="{FF2B5EF4-FFF2-40B4-BE49-F238E27FC236}">
                    <a16:creationId xmlns:a16="http://schemas.microsoft.com/office/drawing/2014/main" id="{ED41D300-6D3E-8A26-0675-31EB700970C6}"/>
                  </a:ext>
                </a:extLst>
              </xdr:cNvPr>
              <xdr:cNvGraphicFramePr/>
            </xdr:nvGraphicFramePr>
            <xdr:xfrm>
              <a:off x="2499533" y="543876"/>
              <a:ext cx="2166845" cy="2880000"/>
            </xdr:xfrm>
            <a:graphic>
              <a:graphicData uri="http://schemas.microsoft.com/office/drawing/2010/slicer">
                <sle:slicer xmlns:sle="http://schemas.microsoft.com/office/drawing/2010/slicer" name="Nome Departamento 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98682" y="561972"/>
                <a:ext cx="2247428" cy="25390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0" name="Pacote Orçamentário 1">
                <a:extLst>
                  <a:ext uri="{FF2B5EF4-FFF2-40B4-BE49-F238E27FC236}">
                    <a16:creationId xmlns:a16="http://schemas.microsoft.com/office/drawing/2014/main" id="{A7D5972D-A111-AD0B-A33B-2807C65701CB}"/>
                  </a:ext>
                </a:extLst>
              </xdr:cNvPr>
              <xdr:cNvGraphicFramePr/>
            </xdr:nvGraphicFramePr>
            <xdr:xfrm>
              <a:off x="4810016" y="543876"/>
              <a:ext cx="2166845" cy="2880000"/>
            </xdr:xfrm>
            <a:graphic>
              <a:graphicData uri="http://schemas.microsoft.com/office/drawing/2010/slicer">
                <sle:slicer xmlns:sle="http://schemas.microsoft.com/office/drawing/2010/slicer" name="Pacote Orçamentári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95090" y="561972"/>
                <a:ext cx="2247428" cy="25390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1" name="Item Orçamentário">
                <a:extLst>
                  <a:ext uri="{FF2B5EF4-FFF2-40B4-BE49-F238E27FC236}">
                    <a16:creationId xmlns:a16="http://schemas.microsoft.com/office/drawing/2014/main" id="{C4E16104-5299-92D3-5265-957B1EE3445F}"/>
                  </a:ext>
                </a:extLst>
              </xdr:cNvPr>
              <xdr:cNvGraphicFramePr/>
            </xdr:nvGraphicFramePr>
            <xdr:xfrm>
              <a:off x="7120499" y="543876"/>
              <a:ext cx="2166845" cy="2880000"/>
            </xdr:xfrm>
            <a:graphic>
              <a:graphicData uri="http://schemas.microsoft.com/office/drawing/2010/slicer">
                <sle:slicer xmlns:sle="http://schemas.microsoft.com/office/drawing/2010/slicer" name="Item Orçamentár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291497" y="561972"/>
                <a:ext cx="2247428" cy="25390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2" name="Mês 1">
                <a:extLst>
                  <a:ext uri="{FF2B5EF4-FFF2-40B4-BE49-F238E27FC236}">
                    <a16:creationId xmlns:a16="http://schemas.microsoft.com/office/drawing/2014/main" id="{4FFAE56D-693D-466B-A5D3-38D82A00411F}"/>
                  </a:ext>
                </a:extLst>
              </xdr:cNvPr>
              <xdr:cNvGraphicFramePr/>
            </xdr:nvGraphicFramePr>
            <xdr:xfrm>
              <a:off x="9430982" y="543876"/>
              <a:ext cx="1958655" cy="2880000"/>
            </xdr:xfrm>
            <a:graphic>
              <a:graphicData uri="http://schemas.microsoft.com/office/drawing/2010/slicer">
                <sle:slicer xmlns:sle="http://schemas.microsoft.com/office/drawing/2010/slicer" name="Mê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687905" y="561972"/>
                <a:ext cx="2031495" cy="25390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192184</xdr:colOff>
      <xdr:row>0</xdr:row>
      <xdr:rowOff>149711</xdr:rowOff>
    </xdr:from>
    <xdr:ext cx="2488496" cy="176981"/>
    <xdr:pic>
      <xdr:nvPicPr>
        <xdr:cNvPr id="2" name="Imagem 1">
          <a:extLst>
            <a:ext uri="{FF2B5EF4-FFF2-40B4-BE49-F238E27FC236}">
              <a16:creationId xmlns:a16="http://schemas.microsoft.com/office/drawing/2014/main" id="{86EF6C57-2FBD-4FBD-A4D0-2191541AC6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738"/>
        <a:stretch/>
      </xdr:blipFill>
      <xdr:spPr bwMode="auto">
        <a:xfrm>
          <a:off x="436024" y="149711"/>
          <a:ext cx="2488496" cy="176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192184</xdr:colOff>
      <xdr:row>0</xdr:row>
      <xdr:rowOff>149711</xdr:rowOff>
    </xdr:from>
    <xdr:ext cx="2488496" cy="176981"/>
    <xdr:pic>
      <xdr:nvPicPr>
        <xdr:cNvPr id="2" name="Imagem 1">
          <a:extLst>
            <a:ext uri="{FF2B5EF4-FFF2-40B4-BE49-F238E27FC236}">
              <a16:creationId xmlns:a16="http://schemas.microsoft.com/office/drawing/2014/main" id="{F1C0EF55-A0ED-4BA4-B383-55A6B2C6F8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738"/>
        <a:stretch/>
      </xdr:blipFill>
      <xdr:spPr bwMode="auto">
        <a:xfrm>
          <a:off x="1411384" y="149711"/>
          <a:ext cx="2488496" cy="176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miranda/Library/Containers/com.microsoft.Outlook/Data/tmp/Temp%20do%20Outlook/Realizado%2005.2026%20Detalhamento%20Juri&#769;dica%5b69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miranda/Library/Containers/com.microsoft.Outlook/Data/tmp/Temp%20do%20Outlook/Realizado%2005.2026%20Detalhamento%20Juri&#769;dica%5b69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miranda/Library/Containers/com.microsoft.Outlook/Data/tmp/Temp%20do%20Outlook/Realizado%2005.2026%20Detalhamento%20Juri&#769;dica%5b69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len do Nascimento Santana" refreshedDate="46199.654261689815" createdVersion="8" refreshedVersion="8" minRefreshableVersion="3" recordCount="122" xr:uid="{3781D5B5-3F8E-4DA6-8D6A-9C0C69954877}">
  <cacheSource type="worksheet">
    <worksheetSource ref="C10:AG132" sheet=".xlsx]02. BD Comparativo POx5M" r:id="rId2"/>
  </cacheSource>
  <cacheFields count="31">
    <cacheField name="C.C. Diretoria" numFmtId="0">
      <sharedItems containsSemiMixedTypes="0" containsString="0" containsNumber="1" containsInteger="1" minValue="1000" maxValue="1159"/>
    </cacheField>
    <cacheField name="Nome Diretoria" numFmtId="0">
      <sharedItems count="20">
        <s v="Despesas com Empresa LTDA"/>
        <s v="Diretoria Jurídica"/>
        <s v="Auditoria Interna" u="1"/>
        <s v="Diretoria de Desenvolvimento Organizacional" u="1"/>
        <s v="Conselho Administrativo" u="1"/>
        <s v="Diretoria de Engenharia Técnica" u="1"/>
        <s v="Diretoria de Negócios 1" u="1"/>
        <s v="Diretoria Adm. Financeira e RI" u="1"/>
        <s v="Tecnologia da Informação" u="1"/>
        <s v="Diretoria Comercial" u="1"/>
        <s v="Diretoria Especialista de Engenharia" u="1"/>
        <s v="Diretoria de Obras 1" u="1"/>
        <s v="Diretoria de Obras 2" u="1"/>
        <s v="Presidência Executiva" u="1"/>
        <s v="Diretoria de Negócios 2" u="1"/>
        <s v="Estrutura Corporativa" u="1"/>
        <s v="Gerencial" u="1"/>
        <s v="Depreciação" u="1"/>
        <s v="Gestão Corporativa" u="1"/>
        <s v="Uniformes" u="1"/>
      </sharedItems>
    </cacheField>
    <cacheField name="C.C. Depto" numFmtId="0">
      <sharedItems containsSemiMixedTypes="0" containsString="0" containsNumber="1" containsInteger="1" minValue="1003" maxValue="1160"/>
    </cacheField>
    <cacheField name="Nome Departamento " numFmtId="0">
      <sharedItems count="91">
        <s v="Despesas com Empresa LTDA - Jurídico"/>
        <s v="Jurídico Corporativo"/>
        <s v="Diretoria Jurídica"/>
        <s v="Jurídico Imobiliário"/>
        <s v="Despesas com Empresa LTDA - Contábil" u="1"/>
        <s v="Despesas com Empresa LTDA - Financeiro" u="1"/>
        <s v="Brasília (Aldeias do Cerrado)" u="1"/>
        <s v="Auditoria Interna" u="1"/>
        <s v="Contribuições /Sindicais /Associações " u="1"/>
        <s v="Eventos Corporativos" u="1"/>
        <s v="Folha e Benefícios" u="1"/>
        <s v="Gente e Cultura" u="1"/>
        <s v="Remuneração " u="1"/>
        <s v="Diretoria de Desenvolvimento Organizacional" u="1"/>
        <s v="Conselho Administrativo" u="1"/>
        <s v="Viabilidade e Planejamento de Novos Negócios" u="1"/>
        <s v="Inovação e Processos de Operação " u="1"/>
        <s v="PMO de Negócios" u="1"/>
        <s v="Desenvolvimento de Produtos - Urbanismo" u="1"/>
        <s v="Desenvolvimento de Produtos - Edificações" u="1"/>
        <s v="U.N - SP - Regional São Paulo (SP1)" u="1"/>
        <s v="U.N - SP - Regional São Paulo (SP2)" u="1"/>
        <s v="U.N - SP - Regional São Paulo (SP3)" u="1"/>
        <s v="U.N - SP - Regional São Paulo (SP5)" u="1"/>
        <s v="Novos Negócios" u="1"/>
        <s v="Diretoria Adm. Financeira e RI" u="1"/>
        <s v="Suporte Financeiro -  Negócios" u="1"/>
        <s v="Relações com Investidores" u="1"/>
        <s v="Planejamento Estratégico e Orçamento Corporativo" u="1"/>
        <s v="Crédito e Cobrança" u="1"/>
        <s v="Escritório São Paulo" u="1"/>
        <s v="Escritório São José do Rio Preto" u="1"/>
        <s v="Escritório Londrina" u="1"/>
        <s v="Escritório Ribeirão Preto" u="1"/>
        <s v="Escritório Cuiabá" u="1"/>
        <s v="Escritório Norte do MT" u="1"/>
        <s v="Escritório Bauru" u="1"/>
        <s v="Facilities e Processos Internos" u="1"/>
        <s v="Despesas com Aeronaves (PPJOY)" u="1"/>
        <s v="Despesas com Aeronaves (PSPLG)" u="1"/>
        <s v="Despesas com Aeronaves (PPWJR)" u="1"/>
        <s v="Despesas com Aeronaves (PSCSX)" u="1"/>
        <s v="Contábil e Fiscal" u="1"/>
        <s v="Riscos, Controles Internos e Compliance " u="1"/>
        <s v="Financeiro" u="1"/>
        <s v="Central de Notas" u="1"/>
        <s v="Infraestrutura de Tecnologia" u="1"/>
        <s v="Sistemas de Tecnologias" u="1"/>
        <s v="Privacidade de Dados" u="1"/>
        <s v="Projeto Oracle" u="1"/>
        <s v="Controladoria de Obras" u="1"/>
        <s v="Diretoria Comercial" u="1"/>
        <s v="Marketing" u="1"/>
        <s v="Comunicação Interna " u="1"/>
        <s v="Relacionamento com Cliente" u="1"/>
        <s v="Lotes Comerciais" u="1"/>
        <s v="Financeiro e Manutenção Comercial" u="1"/>
        <s v="Diretoria de Planejamento" u="1"/>
        <s v="Plano Empresário" u="1"/>
        <s v="Sustentabilidade " u="1"/>
        <s v="Diretoria Especialista de Engenharia" u="1"/>
        <s v="Staff Rotativo Obras 1" u="1"/>
        <s v="Staff Rotativo Obras 2" u="1"/>
        <s v="Administrativo Financeiro de Obras 1" u="1"/>
        <s v="Administrativo Financeiro de Obras 2" u="1"/>
        <s v="Desenvolvimento Técnico de Obras" u="1"/>
        <s v="Assistência Técnica" u="1"/>
        <s v="Gerencial" u="1"/>
        <s v="Diretoria de Obras 1" u="1"/>
        <s v="Diretoria de Obras 2" u="1"/>
        <s v="Segurança do Trabalho" u="1"/>
        <s v="Engenharia Ambiental" u="1"/>
        <s v="Presidência Executiva" u="1"/>
        <s v="Diretoria de Negócios 1" u="1"/>
        <s v="Diretoria de Negócios 2" u="1"/>
        <s v="U.N - Regional Sul - Paraná (PR)" u="1"/>
        <s v="U.N - MT - Regional Mato Grosso (MT 2)" u="1"/>
        <s v="U.N - MT - Regional Mato Grosso (MT1)" u="1"/>
        <s v="Marketing - Institucional" u="1"/>
        <s v="Depreciação" u="1"/>
        <s v="Stock Option Program (SOP)" u="1"/>
        <s v="Performance Comercial" u="1"/>
        <s v="Comercial de Repasses" u="1"/>
        <s v="Projetos" u="1"/>
        <s v="Suprimentos" u="1"/>
        <s v="Orçamento e Planejamento de Obras" u="1"/>
        <s v="U.N - MT - Regional Mato Grosso (MT2)" u="1"/>
        <s v="Gestão Corporativa (Bonificações / Pote / SOP)" u="1"/>
        <s v="U.N – MT – Regional Mato Grosso (MT1) - Corporativo" u="1"/>
        <s v="Uniformes" u="1"/>
        <s v="01509-Uniformes" u="1"/>
      </sharedItems>
    </cacheField>
    <cacheField name="Tipo Despesa" numFmtId="0">
      <sharedItems/>
    </cacheField>
    <cacheField name="Pacote Orçamentário" numFmtId="0">
      <sharedItems count="20">
        <s v="Despesas com Empresa LTDA - Jurídico"/>
        <s v="Administrativos - Pessoal "/>
        <s v="Administrativos - Diversos"/>
        <s v="Despesas Jurídicas"/>
        <s v="Administrativos - Facilities"/>
        <s v="Viagens"/>
        <s v="Despesas com Eventos"/>
        <s v="Veículos"/>
        <s v="Pessoal"/>
        <s v="Despesas com Empresa LTDA - Contábil" u="1"/>
        <s v="Despesas com Empresa LTDA - Financeiro" u="1"/>
        <s v="Tecnologia da Informação " u="1"/>
        <s v="Marketing Institucional" u="1"/>
        <s v="Despesas com Ocupação" u="1"/>
        <s v="Despesas com Aeronaves" u="1"/>
        <s v="Despesas Contábeis " u="1"/>
        <s v="Telecomunicações" u="1"/>
        <s v="Desenvolvimento de Tecnologias de Projetos de Obras" u="1"/>
        <s v="Depreciação" u="1"/>
        <s v="Stock Option Program" u="1"/>
      </sharedItems>
    </cacheField>
    <cacheField name="Item Orçamentário" numFmtId="0">
      <sharedItems count="108">
        <s v="Alterações de Atos Societários LTDA"/>
        <s v="Despesas com Cartório LTDA"/>
        <s v="Outras Despesas Gerais - Jurídico LTDA"/>
        <s v="Exames Admissionais, Demissionais e Periódicos"/>
        <s v="Consultoria / Assessoria - Diversas"/>
        <s v="Monitoramentos / Consultas - Serasa"/>
        <s v="Honorários / Prestadores Recorrentes"/>
        <s v="Honorários / Prestadores Variáveis"/>
        <s v="Despesas Processuais (Perícias, Pareceres)"/>
        <s v="Outras Despesas Gerais - Jurídicas"/>
        <s v="Despesas com Cartório"/>
        <s v="RDV (Reembolso de Despesa de Viagens)"/>
        <s v="Taxas Administração de Jovem Aprendiz e Estagiário"/>
        <s v="Despesas com Correspondências"/>
        <s v="Despesas com Motoboy"/>
        <s v="Despesas com Serviços Gráficos"/>
        <s v="Reuniões e Encontros Diretorias / Lideres"/>
        <s v="Cartão Combustível"/>
        <s v="Despesas de Frota"/>
        <s v="Estacionamentos"/>
        <s v="Manutenções e Lavagens de Veículos Frota"/>
        <s v="Hospedagens"/>
        <s v="Passagens Aéreas"/>
        <s v="Passagens Ônibus de Viagem"/>
        <s v="Pedágio"/>
        <s v="Transporte em Viagens (Uber / Táxi / Transporte Particular)"/>
        <s v="1/3 FÉRIAS"/>
        <s v="13º SALÁRIO"/>
        <s v="AJUDA DE CUSTO"/>
        <s v="ASSISTÊNCIA MÉDICA"/>
        <s v="ASSISTÊNCIA ODONTOLÓGICA"/>
        <s v="AUXÍLIO MOBILIZAÇÃO"/>
        <s v="BÔNUS"/>
        <s v="SALÁRIO FGTS"/>
        <s v="1/3 FÉRIAS FGTS"/>
        <s v="13º SALÁRIO FGTS"/>
        <s v="SALÁRIO INSS"/>
        <s v="1/3 FÉRIAS INSS"/>
        <s v="1/3 FÉRIAS INSS REONERAÇÃO"/>
        <s v="13º SALÁRIO INSS"/>
        <s v="13º SALÁRIO INSS REONERAÇÃO"/>
        <s v="SALÁRIO INSS REONERAÇÃO"/>
        <s v="SALÁRIO"/>
        <s v="SEGURO DE VIDA"/>
        <s v="VR/VA"/>
        <s v="VALE TRANSPORTE"/>
        <s v="FÉRIAS"/>
        <s v="FÉRIAS INSS"/>
        <s v="FÉRIAS INSS REONERAÇÃO"/>
        <s v="FÉRIAS FGTS"/>
        <s v="RESCISÃO"/>
        <s v="RESCISÃO INSS"/>
        <s v="RESCISÃO INSS REONERAÇÃO"/>
        <s v="RESCISÃO FGTS"/>
        <s v="Abertura de Empresa LTDA" u="1"/>
        <s v="G&amp;A - Parceiros LTDA" u="1"/>
        <s v="Outras Despesas Gerais - Contábil LTDA" u="1"/>
        <s v="Monitoramento Serasa LTDA" u="1"/>
        <s v="Outras Despesas Gerais - Financeiro LTDA" u="1"/>
        <s v="Cursos e Treinamentos" u="1"/>
        <s v="Acessórios e Equipamentos Periféricos de Informática (OPEX)" u="1"/>
        <s v="Conselhos (OAB, CREA, CRECI, CRC, etc.)" u="1"/>
        <s v="Contribuições Confederativa / Sindical / Associações" u="1"/>
        <s v="Confraternizações Fim de Ano" u="1"/>
        <s v="Eventos Corporativos (Aniversariantes, Valoriza Você, Festividades)" u="1"/>
        <s v="Outras Despesas Gerais - Administrativas" u="1"/>
        <s v="Recrutamento e Seleção" u="1"/>
        <s v="Reuniões Diretores / Presidente / Conselho (Coffe / almoços)" u="1"/>
        <s v="Doações" u="1"/>
        <s v="Patrocínios Institucional" u="1"/>
        <s v="Uniformes Corporativos" u="1"/>
        <s v="Outras Despesas Gerais - Ocupação (IPTU/Seguro/TFE/Sistema de Monito" u="1"/>
        <s v="Aluguéis de Imóveis/Condomínios" u="1"/>
        <s v="Contas de Consumo (Água,Energia)" u="1"/>
        <s v="Materiais e Equipamentos de Copa" u="1"/>
        <s v="Material e Equipamentos de Higiene e Limpeza" u="1"/>
        <s v="Manutenções dos Escritório / Galpão - (OPEX)" u="1"/>
        <s v="Serviços de Limpeza Terceirizado" u="1"/>
        <s v="Materiais de Escritório" u="1"/>
        <s v="Guarda de Documentos Administrativos" u="1"/>
        <s v="Gestão de Sistemas de Frotas" u="1"/>
        <s v="Fretamento Aéreo" u="1"/>
        <s v="Outras Despesas Gerais - Diretoria / Presidência (Farmácia / Gulosei" u="1"/>
        <s v="Abastecimento Aeronaves" u="1"/>
        <s v="Hangaragem e Limpeza de Aeronaves" u="1"/>
        <s v="Manutenção de Aeronaves" u="1"/>
        <s v="Outras Despesas Gerais - Aeronaves" u="1"/>
        <s v="Auditoria / Consultoria - Contábeis / Fiscais" u="1"/>
        <s v="Outras Despesas Gerais - Contábeis / Fiscais" u="1"/>
        <s v="Locações e Manutenções de Equipamentos de Informática (OPEX)" u="1"/>
        <s v="Suporte e Manutenção de Sistemas de Tecnologia (OPEX)" u="1"/>
        <s v="Conectividade (Internet)" u="1"/>
        <s v="Telefonia Fixa" u="1"/>
        <s v="Telefonia Móvel (Conta de Celular)" u="1"/>
        <s v="Premiação Vendas" u="1"/>
        <s v="Assessoria de Imprensa" u="1"/>
        <s v="Materiais Gráficos Institucionais" u="1"/>
        <s v="Outras Despesas Gerais - Institucionais" u="1"/>
        <s v="Novas Tecnologias de Projetos de Obras" u="1"/>
        <s v="Assessoria / Consultoria de Projetos de Obras" u="1"/>
        <s v="Projetos de Casas" u="1"/>
        <s v="Eventos Institucionais" u="1"/>
        <s v="Publicações Institucionais" u="1"/>
        <s v="Depreciação" u="1"/>
        <s v="Stock Option Program (SOP)" u="1"/>
        <s v="Gratificações Diversas" u="1"/>
        <s v="HORAS EXTRAS" u="1"/>
        <s v="POTE" u="1"/>
      </sharedItems>
    </cacheField>
    <cacheField name="PO - jan/26" numFmtId="4">
      <sharedItems containsSemiMixedTypes="0" containsString="0" containsNumber="1" minValue="0" maxValue="150000"/>
    </cacheField>
    <cacheField name="Real - jan/26" numFmtId="4">
      <sharedItems containsSemiMixedTypes="0" containsString="0" containsNumber="1" minValue="0" maxValue="122138.92"/>
    </cacheField>
    <cacheField name="-" numFmtId="9">
      <sharedItems containsSemiMixedTypes="0" containsString="0" containsNumber="1" minValue="-1" maxValue="6.5692053964645218"/>
    </cacheField>
    <cacheField name="Desvio" numFmtId="4">
      <sharedItems containsSemiMixedTypes="0" containsString="0" containsNumber="1" minValue="-8191.2090399999988" maxValue="146694.21"/>
    </cacheField>
    <cacheField name="PO - fev/26" numFmtId="4">
      <sharedItems containsSemiMixedTypes="0" containsString="0" containsNumber="1" minValue="0" maxValue="150000"/>
    </cacheField>
    <cacheField name="Real - fev/26" numFmtId="4">
      <sharedItems containsSemiMixedTypes="0" containsString="0" containsNumber="1" minValue="0" maxValue="134566.62"/>
    </cacheField>
    <cacheField name="-2" numFmtId="9">
      <sharedItems containsSemiMixedTypes="0" containsString="0" containsNumber="1" minValue="-1" maxValue="3.0024233720559854"/>
    </cacheField>
    <cacheField name="Desvio2" numFmtId="4">
      <sharedItems containsSemiMixedTypes="0" containsString="0" containsNumber="1" minValue="-6727.43" maxValue="122111.43"/>
    </cacheField>
    <cacheField name="PO - mar/26" numFmtId="4">
      <sharedItems containsSemiMixedTypes="0" containsString="0" containsNumber="1" minValue="0" maxValue="150000"/>
    </cacheField>
    <cacheField name="Real - mar/26" numFmtId="4">
      <sharedItems containsSemiMixedTypes="0" containsString="0" containsNumber="1" minValue="-43850.09" maxValue="251000"/>
    </cacheField>
    <cacheField name="-3" numFmtId="9">
      <sharedItems containsSemiMixedTypes="0" containsString="0" containsNumber="1" minValue="-1" maxValue="24.1"/>
    </cacheField>
    <cacheField name="Desvio3" numFmtId="4">
      <sharedItems containsSemiMixedTypes="0" containsString="0" containsNumber="1" minValue="-241000" maxValue="94308.93"/>
    </cacheField>
    <cacheField name="PO - abr/26" numFmtId="4">
      <sharedItems containsSemiMixedTypes="0" containsString="0" containsNumber="1" minValue="0" maxValue="140000"/>
    </cacheField>
    <cacheField name="Real - abr/26" numFmtId="4">
      <sharedItems containsSemiMixedTypes="0" containsString="0" containsNumber="1" minValue="-79.3" maxValue="133702.95000000001"/>
    </cacheField>
    <cacheField name="-4" numFmtId="9">
      <sharedItems containsSemiMixedTypes="0" containsString="0" containsNumber="1" minValue="-1.0037761904761904" maxValue="9"/>
    </cacheField>
    <cacheField name="Desvio4" numFmtId="4">
      <sharedItems containsSemiMixedTypes="0" containsString="0" containsNumber="1" minValue="-90000" maxValue="97373.01"/>
    </cacheField>
    <cacheField name="PO - mai/26" numFmtId="4">
      <sharedItems containsSemiMixedTypes="0" containsString="0" containsNumber="1" minValue="0" maxValue="140000"/>
    </cacheField>
    <cacheField name="Real - mai/26" numFmtId="4">
      <sharedItems containsSemiMixedTypes="0" containsString="0" containsNumber="1" minValue="0" maxValue="222300.09"/>
    </cacheField>
    <cacheField name="-5" numFmtId="9">
      <sharedItems containsSemiMixedTypes="0" containsString="0" containsNumber="1" minValue="-1" maxValue="14.304676140815737"/>
    </cacheField>
    <cacheField name="Desvio5" numFmtId="4">
      <sharedItems containsSemiMixedTypes="0" containsString="0" containsNumber="1" minValue="-82300.09" maxValue="30000"/>
    </cacheField>
    <cacheField name="PO - Total 5M" numFmtId="4">
      <sharedItems containsSemiMixedTypes="0" containsString="0" containsNumber="1" minValue="0" maxValue="710000"/>
    </cacheField>
    <cacheField name="Real - Total 5M" numFmtId="4">
      <sharedItems containsSemiMixedTypes="0" containsString="0" containsNumber="1" minValue="-12811.999999999996" maxValue="743766.85"/>
    </cacheField>
    <cacheField name="-6" numFmtId="9">
      <sharedItems containsSemiMixedTypes="0" containsString="0" containsNumber="1" minValue="-1" maxValue="6.22"/>
    </cacheField>
    <cacheField name="Desvio6" numFmtId="4">
      <sharedItems containsSemiMixedTypes="0" containsString="0" containsNumber="1" minValue="-311000" maxValue="398406.71"/>
    </cacheField>
  </cacheFields>
  <extLst>
    <ext xmlns:x14="http://schemas.microsoft.com/office/spreadsheetml/2009/9/main" uri="{725AE2AE-9491-48be-B2B4-4EB974FC3084}">
      <x14:pivotCacheDefinition pivotCacheId="6228984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len do Nascimento Santana" refreshedDate="46199.656236458337" createdVersion="8" refreshedVersion="8" minRefreshableVersion="3" recordCount="806" xr:uid="{B16EBBAC-3844-4124-A4E7-D8B8D5392FE4}">
  <cacheSource type="worksheet">
    <worksheetSource ref="A2:K808" sheet=".xlsx]04. BD do Realizado 5M" r:id="rId2"/>
  </cacheSource>
  <cacheFields count="11">
    <cacheField name="Mês" numFmtId="17">
      <sharedItems containsSemiMixedTypes="0" containsNonDate="0" containsDate="1" containsString="0" minDate="2026-01-01T00:00:00" maxDate="2026-05-02T00:00:00" count="5">
        <d v="2026-01-01T00:00:00"/>
        <d v="2026-02-01T00:00:00"/>
        <d v="2026-03-01T00:00:00"/>
        <d v="2026-04-01T00:00:00"/>
        <d v="2026-05-01T00:00:00"/>
      </sharedItems>
    </cacheField>
    <cacheField name="Pacote Orçamentário" numFmtId="0">
      <sharedItems count="25">
        <s v="Salário"/>
        <s v="Benefícios"/>
        <s v="Veículos"/>
        <s v="Despesas Jurídicas"/>
        <s v="Viagens"/>
        <s v="Administrativos - Facilities"/>
        <s v="Despesas com Eventos"/>
        <s v="Férias"/>
        <s v="13º Salário"/>
        <s v="Administrativos - Diversos"/>
        <s v="Despesas com Empresa LTDA - Jurídico"/>
        <s v="Administrativo - Pessoal "/>
        <s v="Bônus"/>
        <s v="Tecnologia da Informação " u="1"/>
        <s v="Despesas com Ocupação" u="1"/>
        <s v="Marketing Institucional" u="1"/>
        <s v="Despesas com Aeronaves" u="1"/>
        <s v="Telecomunicações" u="1"/>
        <s v="Desenvolvimento de Tecnologias de Projetos de Obras" u="1"/>
        <s v="Despesas Contábeis " u="1"/>
        <s v="Depreciação" u="1"/>
        <s v="Stock Options Program (SOP)" u="1"/>
        <s v="Rescisão" u="1"/>
        <s v="Despesas com Empresa LTDA - Contábil " u="1"/>
        <s v="Despesas com Empresa LTDA - Financeiro" u="1"/>
      </sharedItems>
    </cacheField>
    <cacheField name="Código do Item Orçamentário" numFmtId="0">
      <sharedItems containsSemiMixedTypes="0" containsString="0" containsNumber="1" containsInteger="1" minValue="38001001004" maxValue="38001027008"/>
    </cacheField>
    <cacheField name="Item Orçamentário" numFmtId="0">
      <sharedItems count="96">
        <s v="Salário INSS"/>
        <s v="Salário"/>
        <s v="Seguro de Vida"/>
        <s v="Pedágio"/>
        <s v="Honorários / Prestadores Recorrentes"/>
        <s v="Outras Despesas Gerais - Jurídicas"/>
        <s v="RDV (Reembolso de Despesa de Viagens)"/>
        <s v="Despesas com Cartório"/>
        <s v="Vale Transporte"/>
        <s v="Reuniões e Encontros Diretorias / Lideres"/>
        <s v="Transporte em Viagens (Uber / Táxi / Transporte Particular)"/>
        <s v="Despesas de Frota"/>
        <s v="Cartão Combustível"/>
        <s v="Manutenções e Lavagens de Veículos Frota"/>
        <s v="Honorários / Prestadores Variáveis"/>
        <s v="VR/VA"/>
        <s v="Férias INSS"/>
        <s v="13º Salário INSS"/>
        <s v="Férias FGTS"/>
        <s v="13º Salário FGTS"/>
        <s v="Férias"/>
        <s v="Salário FGTS"/>
        <s v="13º Salário"/>
        <s v="Hospedagens"/>
        <s v="Monitoramentos / Consultas - Serasa"/>
        <s v="Assistência Odontológica"/>
        <s v="Passagens Aéreas "/>
        <s v="Passagens Ônibus de Viagem"/>
        <s v="Assistência Médica "/>
        <s v="Estacionamentos"/>
        <s v="Alterações de Atos Societários LTDA"/>
        <s v="Salário INSS Reoneração"/>
        <s v="Exames Admissionais, Demissionais e Periódicos"/>
        <s v="Outras Despesas Gerais - Jurídico LTDA"/>
        <s v="Bônus"/>
        <s v="Multas de Trânsito (Colaborador)"/>
        <s v="Despesas com Serviços Gráficos"/>
        <s v="Suporte e Manutenção de Sistemas de Tecnologia (OPEX)" u="1"/>
        <s v="Consultoria / Assessoria - Diversas" u="1"/>
        <s v="Outras Despesas Gerais - Administrativas" u="1"/>
        <s v="Eventos Corporativos (Aniversariantes, Valoriza Você, Festividades)" u="1"/>
        <s v="Contas de Consumo (Água,Energia)" u="1"/>
        <s v="Recrutamento e Seleção" u="1"/>
        <s v="Assessoria de Imprensa" u="1"/>
        <s v="Fretamento Aéreo" u="1"/>
        <s v="Patrocínios Institucional" u="1"/>
        <s v="Conectividade (Internet)" u="1"/>
        <s v="Manutenção de Aeronaves" u="1"/>
        <s v="Conselhos (OAB, CREA, CRECI, CRC, etc.)" u="1"/>
        <s v="Contribuições Confederativa / Sindical / Associações" u="1"/>
        <s v="Locações e Manutenções de Equipamentos de Informática (OPEX)" u="1"/>
        <s v="Serviços de Limpeza Terceirizado" u="1"/>
        <s v="Projetos de Casas" u="1"/>
        <s v="Hangaragem e Limpeza de Aeronaves" u="1"/>
        <s v="Outras Despesas Gerais - Aeronaves" u="1"/>
        <s v="Gestão de Sistemas de Frotas " u="1"/>
        <s v="Cursos e Treinamentos" u="1"/>
        <s v="Material e Equipamentos de Higiene e Limpeza" u="1"/>
        <s v="Outras Despesas Gerais - Diretoria / Presidência (Farmácia / Guloseimas / Jornais / Revistas)" u="1"/>
        <s v="Manutenções dos Escritório / Galpão - (OPEX)" u="1"/>
        <s v="Abastecimento Aeronaves" u="1"/>
        <s v="Acessórios e Equipamentos Periféricos de Informática (OPEX)" u="1"/>
        <s v="Materiais de Escritório" u="1"/>
        <s v="Materiais e Equipamentos de Copa" u="1"/>
        <s v="Taxas Administração de Jovem Aprendiz e Estagiário" u="1"/>
        <s v="Outras Despesas Gerais - Institucionais" u="1"/>
        <s v="Auditoria / Consultoria - Contábeis / Fiscais" u="1"/>
        <s v="Telefonia Fixa" u="1"/>
        <s v="Doações" u="1"/>
        <s v="Depreciação" u="1"/>
        <s v="Aluguéis de Imóveis/Condomínios" u="1"/>
        <s v="Stock Option Program (SOP)" u="1"/>
        <s v="Ajuda de Custo" u="1"/>
        <s v="Rescisão" u="1"/>
        <s v="Auxílio Mobilização" u="1"/>
        <s v="Horas Extras" u="1"/>
        <s v="Premiação Vendas" u="1"/>
        <s v="Gratificações Diversas" u="1"/>
        <s v="Reuniões Diretores / Presidente / Conselho (Coffe / Almoços)" u="1"/>
        <s v="Telefonia Móvel (Conta de Celular)" u="1"/>
        <s v="Outras Despesas Gerais - Ocupação (IPTU/Seguro/TFE/Sistema de Monitoramento)" u="1"/>
        <s v="Uniformes Corporativos" u="1"/>
        <s v="Despesas com Motoboy" u="1"/>
        <s v="Despesas com Correspondências" u="1"/>
        <s v="Outras Despesas Gerais - Contábil LTDA" u="1"/>
        <s v="Monitoramento Serasa LTDA" u="1"/>
        <s v="Rescisão INSS" u="1"/>
        <s v="Outras Despesas Gerais - Contábeis / Fiscais" u="1"/>
        <s v="Abertura de Empresa LTDA" u="1"/>
        <s v="Publicações Institucionais" u="1"/>
        <s v="Guarda de Documentos Administrativos" u="1"/>
        <s v="Eventos Institucionais" u="1"/>
        <s v="Participação nos Lucros" u="1"/>
        <s v="Novas Tecnologias de Projetos de Obras " u="1"/>
        <s v="Assessoria / Consultoria de Projetos de Obras" u="1"/>
        <s v="Materiais Gráficos Institucionais" u="1"/>
      </sharedItems>
    </cacheField>
    <cacheField name="Descrição do Lançamento" numFmtId="0">
      <sharedItems/>
    </cacheField>
    <cacheField name="C.C. Diretoria" numFmtId="0">
      <sharedItems containsSemiMixedTypes="0" containsString="0" containsNumber="1" containsInteger="1" minValue="1000" maxValue="1159"/>
    </cacheField>
    <cacheField name="Nome Diretoria" numFmtId="0">
      <sharedItems count="17">
        <s v="Diretoria Jurídica"/>
        <s v="Despesas com Empresa LTDA"/>
        <s v="Diretoria de Obras 1" u="1"/>
        <s v="Diretoria de Obras 2" u="1"/>
        <s v="Diretoria Especialista de Engenharia" u="1"/>
        <s v="Presidência Executiva" u="1"/>
        <s v="Diretoria de Negócios 1" u="1"/>
        <s v="Diretoria de Negócios 2" u="1"/>
        <s v="Diretoria Comercial" u="1"/>
        <s v="Auditoria Interna" u="1"/>
        <s v="Diretoria de Desenvolvimento Organizacional" u="1"/>
        <s v="Diretoria Adm. Financeira e RI" u="1"/>
        <s v="Tecnologia da Informação" u="1"/>
        <s v="Diretoria de Engenharia Técnica" u="1"/>
        <s v="Conselho Administrativo" u="1"/>
        <s v="Gerencial" u="1"/>
        <s v="Uniformes" u="1"/>
      </sharedItems>
    </cacheField>
    <cacheField name="Centro de Custo" numFmtId="0">
      <sharedItems containsSemiMixedTypes="0" containsString="0" containsNumber="1" containsInteger="1" minValue="47" maxValue="51"/>
    </cacheField>
    <cacheField name="C.C. Depto" numFmtId="0">
      <sharedItems containsSemiMixedTypes="0" containsString="0" containsNumber="1" containsInteger="1" minValue="1003" maxValue="1160"/>
    </cacheField>
    <cacheField name="Nome Departamento " numFmtId="0">
      <sharedItems count="88">
        <s v="Jurídico Corporativo"/>
        <s v="Diretoria Jurídica"/>
        <s v="Jurídico Imobiliário"/>
        <s v="Despesas com Empresa LTDA - Jurídico"/>
        <s v="Diretoria de Obras 1" u="1"/>
        <s v="Diretoria de Obras 2" u="1"/>
        <s v="Segurança do Trabalho" u="1"/>
        <s v="Engenharia Ambiental" u="1"/>
        <s v="Presidência Executiva" u="1"/>
        <s v="Diretoria de Negócios 1" u="1"/>
        <s v="Diretoria de Negócios 2" u="1"/>
        <s v="U.N - Regional Sul - Paraná (PR)" u="1"/>
        <s v="U.N - MT - Regional Mato Grosso (MT2)" u="1"/>
        <s v="U.N - MT - Regional Mato Grosso (MT1)" u="1"/>
        <s v="Marketing - Institucional" u="1"/>
        <s v="Auditoria Interna" u="1"/>
        <s v="Folha e Benefícios" u="1"/>
        <s v="Gente e Cultura" u="1"/>
        <s v="Remuneração " u="1"/>
        <s v="Financeiro" u="1"/>
        <s v="Central de Notas" u="1"/>
        <s v="Infraestrutura de Tecnologia" u="1"/>
        <s v="Sistemas de Tecnologias" u="1"/>
        <s v="Privacidade de Dados" u="1"/>
        <s v="Controladoria de Obras" u="1"/>
        <s v="Diretoria Comercial" u="1"/>
        <s v="Marketing" u="1"/>
        <s v="Comunicação Interna " u="1"/>
        <s v="Relacionamento com Cliente" u="1"/>
        <s v="Processos e Inovação" u="1"/>
        <s v="PMO de Negócios" u="1"/>
        <s v="Desenvolvimento de Produtos - Urbanismo" u="1"/>
        <s v="Desenvolvimento de Produtos - Edificações" u="1"/>
        <s v="U.N - SP - Regional São Paulo (SP1)" u="1"/>
        <s v="Planejamento Estratégico e Orçamento Corporativo" u="1"/>
        <s v="Diretoria de Desenvolvimento Organizacional" u="1"/>
        <s v="Viabilidade e Planejamento de Novos Negócios" u="1"/>
        <s v="U.N - SP - Regional São Paulo (SP2)" u="1"/>
        <s v="U.N - SP - Regional São Paulo (SP3)" u="1"/>
        <s v="U.N - SP - Regional São Paulo (SP5)" u="1"/>
        <s v="Novos Negócios" u="1"/>
        <s v="Diretoria Adm. Financeira e RI" u="1"/>
        <s v="Lotes Comerciais" u="1"/>
        <s v="Performance Comercial" u="1"/>
        <s v="Comercial de Repasses" u="1"/>
        <s v="Financeiro e Manutenção Comercial" u="1"/>
        <s v="Diretoria de Engenharia Técnica" u="1"/>
        <s v="Projetos" u="1"/>
        <s v="Plano Empresário" u="1"/>
        <s v="Diretoria Especialista de Engenharia" u="1"/>
        <s v="Staff Rotativo Obras 1" u="1"/>
        <s v="Crédito e Cobrança" u="1"/>
        <s v="Escritório São Paulo" u="1"/>
        <s v="Escritório São José do Rio Preto" u="1"/>
        <s v="Facilities" u="1"/>
        <s v="Contábil e Fiscal" u="1"/>
        <s v="Suprimentos" u="1"/>
        <s v="Orçamento e Planejamento de Obras" u="1"/>
        <s v="Conselho Administrativo" u="1"/>
        <s v="Staff Rotativo Obras 2" u="1"/>
        <s v="Suporte Financeiro -  Negócios" u="1"/>
        <s v="Relações com Investidores" u="1"/>
        <s v="Despesas com Aeronaves (PPWJR)" u="1"/>
        <s v="Administrativo Financeiro de Obras 1" u="1"/>
        <s v="Administrativo Financeiro de Obras 2" u="1"/>
        <s v="Desenvolvimento Técnico de Obras" u="1"/>
        <s v="Assistência Técnica" u="1"/>
        <s v="Despesas com Aeronaves (PPJOY)" u="1"/>
        <s v="Despesas com Aeronaves (PSPLG)" u="1"/>
        <s v="Riscos, Controles Internos e Compliance " u="1"/>
        <s v="Eventos Corporativos" u="1"/>
        <s v="Escritório Bauru" u="1"/>
        <s v="Despesas com Aeronaves (PSCSX)" u="1"/>
        <s v="Contribuições / Sindicais / Associações " u="1"/>
        <s v="Escritório Londrina" u="1"/>
        <s v="Depreciação" u="1"/>
        <s v="Stock Option Program (SOP)" u="1"/>
        <s v="Escritório Norte do MT" u="1"/>
        <s v="Escritório Cuiabá" u="1"/>
        <s v="Escritório Ribeirão Preto" u="1"/>
        <s v="Gerencial" u="1"/>
        <s v="Despesas com Empresa LTDA - Contábil" u="1"/>
        <s v="Despesas com Empresa LTDA - Financeiro" u="1"/>
        <s v="Sustentabilidade " u="1"/>
        <s v="Uniformes - Corporativo" u="1"/>
        <s v="Diretoria de Planejamento" u="1"/>
        <s v="Projeto Oracle" u="1"/>
        <s v="Gestão Corporativa (Bonificações / Pote)" u="1"/>
      </sharedItems>
    </cacheField>
    <cacheField name="Valor" numFmtId="0">
      <sharedItems containsSemiMixedTypes="0" containsString="0" containsNumber="1" minValue="-321249.56" maxValue="321249.56"/>
    </cacheField>
  </cacheFields>
  <extLst>
    <ext xmlns:x14="http://schemas.microsoft.com/office/spreadsheetml/2009/9/main" uri="{725AE2AE-9491-48be-B2B4-4EB974FC3084}">
      <x14:pivotCacheDefinition pivotCacheId="435976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len do Nascimento Santana" refreshedDate="46199.656848958337" createdVersion="8" refreshedVersion="8" minRefreshableVersion="3" recordCount="475" xr:uid="{CB4CF182-46A9-4DE2-807E-3032BAFD291F}">
  <cacheSource type="worksheet">
    <worksheetSource ref="C5:K480" sheet=".xlsx]06. BD do PO 5M" r:id="rId2"/>
  </cacheSource>
  <cacheFields count="11">
    <cacheField name="C.C. Diretoria" numFmtId="0">
      <sharedItems containsSemiMixedTypes="0" containsString="0" containsNumber="1" containsInteger="1" minValue="1000" maxValue="1159"/>
    </cacheField>
    <cacheField name="Nome Diretoria" numFmtId="0">
      <sharedItems count="16">
        <s v="Despesas com Empresa LTDA"/>
        <s v="Diretoria Jurídica"/>
        <s v="Auditoria Interna" u="1"/>
        <s v="Diretoria de Desenvolvimento Organizacional" u="1"/>
        <s v="Conselho Administrativo" u="1"/>
        <s v="Diretoria de Engenharia Técnica" u="1"/>
        <s v="Diretoria de Negócios 1" u="1"/>
        <s v="Diretoria Adm. Financeira e RI" u="1"/>
        <s v="Tecnologia da Informação" u="1"/>
        <s v="Diretoria Comercial" u="1"/>
        <s v="Diretoria Especialista de Engenharia" u="1"/>
        <s v="Diretoria de Obras 1" u="1"/>
        <s v="Diretoria de Obras 2" u="1"/>
        <s v="Presidência Executiva" u="1"/>
        <s v="Diretoria de Negócios 2" u="1"/>
        <s v="Diretoria de Planejamento" u="1"/>
      </sharedItems>
    </cacheField>
    <cacheField name="C.C. Depto" numFmtId="0">
      <sharedItems containsSemiMixedTypes="0" containsString="0" containsNumber="1" containsInteger="1" minValue="1003" maxValue="1160"/>
    </cacheField>
    <cacheField name="Nome Departamento " numFmtId="0">
      <sharedItems count="86">
        <s v="Despesas com Empresa LTDA - Jurídico"/>
        <s v="Jurídico Corporativo"/>
        <s v="Diretoria Jurídica"/>
        <s v="Jurídico Imobiliário"/>
        <s v="Despesas com Empresa LTDA - Contábil" u="1"/>
        <s v="Despesas com Empresa LTDA - Financeiro" u="1"/>
        <s v="Auditoria Interna" u="1"/>
        <s v="Contribuições /Sindicais /Associações " u="1"/>
        <s v="Eventos Corporativos" u="1"/>
        <s v="Folha e Benefícios" u="1"/>
        <s v="Gente e Cultura" u="1"/>
        <s v="Remuneração " u="1"/>
        <s v="Diretoria de Desenvolvimento Organizacional" u="1"/>
        <s v="Conselho Administrativo" u="1"/>
        <s v="Viabilidade e Planejamento de Novos Negócios" u="1"/>
        <s v="Inovação e Processos de Operação " u="1"/>
        <s v="PMO de Negócios" u="1"/>
        <s v="Desenvolvimento de Produtos - Urbanismo" u="1"/>
        <s v="Desenvolvimento de Produtos - Edificações" u="1"/>
        <s v="U.N - SP - Regional São Paulo (SP1)" u="1"/>
        <s v="U.N - SP - Regional São Paulo (SP2)" u="1"/>
        <s v="U.N - SP - Regional São Paulo (SP3)" u="1"/>
        <s v="U.N - SP - Regional São Paulo (SP5)" u="1"/>
        <s v="Novos Negócios" u="1"/>
        <s v="Diretoria Adm. Financeira e RI" u="1"/>
        <s v="Suporte Financeiro -  Negócios" u="1"/>
        <s v="Relações com Investidores" u="1"/>
        <s v="Planejamento Estratégico e Orçamento Corporativo" u="1"/>
        <s v="Crédito e Cobrança" u="1"/>
        <s v="Escritório São Paulo" u="1"/>
        <s v="Escritório São José do Rio Preto" u="1"/>
        <s v="Escritório Londrina" u="1"/>
        <s v="Escritório Ribeirão Preto" u="1"/>
        <s v="Escritório Cuiabá" u="1"/>
        <s v="Escritório Norte do MT" u="1"/>
        <s v="Escritório Bauru" u="1"/>
        <s v="Facilities" u="1"/>
        <s v="Despesas com Aeronaves (PPJOY)" u="1"/>
        <s v="Despesas com Aeronaves (PSPLG)" u="1"/>
        <s v="Despesas com Aeronaves (PPWJR)" u="1"/>
        <s v="Despesas com Aeronaves (PSCSX)" u="1"/>
        <s v="Contábil e Fiscal" u="1"/>
        <s v="Riscos, Controles Internos e Compliance " u="1"/>
        <s v="Financeiro" u="1"/>
        <s v="Central de Notas" u="1"/>
        <s v="Infraestrutura de Tecnologia" u="1"/>
        <s v="Sistemas de Tecnologias" u="1"/>
        <s v="Privacidade de Dados" u="1"/>
        <s v="Projeto Oracle" u="1"/>
        <s v="Controladoria de Obras" u="1"/>
        <s v="Diretoria Comercial" u="1"/>
        <s v="Marketing" u="1"/>
        <s v="Comunicação Interna " u="1"/>
        <s v="Relacionamento com Cliente" u="1"/>
        <s v="Lotes Comerciais" u="1"/>
        <s v="Financeiro e Manutenção Comercial" u="1"/>
        <s v="Diretoria de Planejamento" u="1"/>
        <s v="Plano Empresário" u="1"/>
        <s v="Sustentabilidade " u="1"/>
        <s v="Diretoria Especialista de Engenharia" u="1"/>
        <s v="Staff Rotativo Obras 1" u="1"/>
        <s v="Staff Rotativo Obras 2" u="1"/>
        <s v="Administrativo Financeiro de Obras 1" u="1"/>
        <s v="Administrativo Financeiro de Obras 2" u="1"/>
        <s v="Desenvolvimento Técnico de Obras" u="1"/>
        <s v="Assistência Técnica" u="1"/>
        <s v="Diretoria de Obras 1" u="1"/>
        <s v="Diretoria de Obras 2" u="1"/>
        <s v="Segurança do Trabalho" u="1"/>
        <s v="Engenharia Ambiental" u="1"/>
        <s v="Presidência Executiva" u="1"/>
        <s v="Diretoria de Negócios 1" u="1"/>
        <s v="Diretoria de Negócios 2" u="1"/>
        <s v="U.N - Regional Sul - Paraná (PR)" u="1"/>
        <s v="U.N - MT - Regional Mato Grosso (MT 2)" u="1"/>
        <s v="U.N - MT - Regional Mato Grosso (MT1)" u="1"/>
        <s v="Marketing - Institucional" u="1"/>
        <s v="Depreciação" u="1"/>
        <s v="Stock Option Program (SOP)" u="1"/>
        <s v="Performance Comercial" u="1"/>
        <s v="Comercial de Repasses" u="1"/>
        <s v="Projetos" u="1"/>
        <s v="Suprimentos" u="1"/>
        <s v="Orçamento e Planejamento de Obras" u="1"/>
        <s v="U.N - MT - Regional Mato Grosso (MT2)" u="1"/>
        <s v="Gestão Corporativa (Bonificações / Pote / SOP)" u="1"/>
      </sharedItems>
    </cacheField>
    <cacheField name="Tipo Despesa" numFmtId="0">
      <sharedItems/>
    </cacheField>
    <cacheField name="Pacote Orçamentário" numFmtId="0">
      <sharedItems count="20">
        <s v="Despesas com Empresa LTDA - Jurídico"/>
        <s v="Administrativo - Pessoal "/>
        <s v="Administrativos - Diversos"/>
        <s v="Despesas Jurídicas"/>
        <s v="Administrativos - Facilities"/>
        <s v="Viagens"/>
        <s v="Despesas com Eventos"/>
        <s v="Veículos"/>
        <s v="Pessoal"/>
        <s v="Despesas com Empresa LTDA  - Contábil " u="1"/>
        <s v="Despesas com Empresa LTDA  - Financeiro" u="1"/>
        <s v="Despesas com Ocupação" u="1"/>
        <s v="Despesas com Aeronaves" u="1"/>
        <s v="Despesas Contábeis " u="1"/>
        <s v="Tecnologia da Informação " u="1"/>
        <s v="Telecomunicações" u="1"/>
        <s v="Marketing Institucional" u="1"/>
        <s v="Desenvolvimento de Tecnologias de Projetos de Obras" u="1"/>
        <s v="Depreciação" u="1"/>
        <s v="Stock Option Program" u="1"/>
      </sharedItems>
    </cacheField>
    <cacheField name="Item Orçamentário" numFmtId="0">
      <sharedItems containsBlank="1" count="102">
        <s v="Alterações de Atos Societários LTDA"/>
        <s v="Despesas com Cartório LTDA"/>
        <s v="Outras Despesas Gerais - Jurídico LTDA"/>
        <s v="Exames Admissionais, Demissionais e Periódicos"/>
        <s v="Consultoria / Assessoria - Diversas"/>
        <s v="Monitoramentos/Consultas - Serasa"/>
        <s v="Honorários / Prestadores Recorrentes"/>
        <s v="Honorários / Prestadores Variáveis"/>
        <s v="Despesas Processuais (Perícias, Pareceres)"/>
        <s v="Outras Despesas Gerais - Jurídicas"/>
        <s v="Despesas com Cartório"/>
        <s v="RDV (Reembolso de Despesa de Viagens)"/>
        <s v="Taxas Administração de Jovem Aprendiz e Estagiário"/>
        <s v="Despesas com Correspondências"/>
        <s v="Despesas com Motoboy"/>
        <s v="Despesas com Serviços Gráficos "/>
        <s v="Reuniões e Encontros Diretorias / Lideres"/>
        <s v="Cartão Combustível"/>
        <s v="Despesas de Frota"/>
        <s v="Manutenção de Veículo Frota"/>
        <s v="Hospedagens"/>
        <s v="Passagens Aéreas "/>
        <s v="Pedágio"/>
        <s v="Transporte em Viagens (Uber / Táxi / Transporte Particular)"/>
        <s v="1/3 FÉRIAS"/>
        <s v="13º SALÁRIO"/>
        <s v="AJUDA DE CUSTO"/>
        <s v="ASSISTÊNCIA MÉDICA "/>
        <s v="ASSISTÊNCIA ODONTOLÓGICA"/>
        <s v="AUXÍLIO MOBILIZAÇÃO"/>
        <s v="BÔNUS"/>
        <s v="SALÁRIO FGTS"/>
        <s v="1/3 FÉRIAS FGTS"/>
        <s v="13º SALÁRIO FGTS"/>
        <s v="SALÁRIO INSS"/>
        <s v="1/3 FÉRIAS INSS"/>
        <s v="1/3 FÉRIAS INSS REONERAÇÃO"/>
        <s v="13º SALÁRIO INSS"/>
        <s v="13º SALÁRIO INSS REONERAÇÃO"/>
        <s v="SALÁRIO INSS REONERAÇÃO"/>
        <s v="SALÁRIO"/>
        <s v="SEGURO DE VIDA"/>
        <s v="VR/VA"/>
        <s v="VALE TRANSPORTE"/>
        <s v="Abertura de Empresa LTDA" u="1"/>
        <s v="G&amp;A - Parceiros LTDA" u="1"/>
        <s v="Outras Despesas Gerais - Contábil LTDA" u="1"/>
        <s v="Monitoramento Serasa LTDA" u="1"/>
        <s v="Outras Despesas Gerais - Financeiro LTDA" u="1"/>
        <s v="Passagens Ônibus de Viagem" u="1"/>
        <s v="Cursos e Treinamentos" u="1"/>
        <s v="Conselhos (OAB, CREA, CRECI, CRC, etc.)" u="1"/>
        <s v="Contribuições Confederativa / Sindical / Associações" u="1"/>
        <s v="Confraternizações Fim de Ano" u="1"/>
        <s v="Eventos Corporativos (Aniversariantes, Valoriza Você, Festividades)" u="1"/>
        <s v="Outras Despesas Gerais - Administrativas" u="1"/>
        <s v="Recrutamento e Seleção" u="1"/>
        <s v="Manutenções de Veículos Frota" u="1"/>
        <s v="Reuniões Diretores / Presidente / Conselho (Coffe / almoços)" u="1"/>
        <s v="Doações" u="1"/>
        <s v="Estacionamentos" u="1"/>
        <s v="Uniformes Corporativos" u="1"/>
        <s v="Aluguéis de Imóveis/Condomínios" u="1"/>
        <s v="Contas de Consumo (Água, Energia)" u="1"/>
        <s v="Materiais e Equipamentos de Copa" u="1"/>
        <s v="Material e Equipamentos de Higiene e Limpeza" u="1"/>
        <s v="Manutenções dos Escritório / Galpão - (OPEX)" u="1"/>
        <s v="Serviços de Limpeza Terceirizado" u="1"/>
        <s v="Materiais de Escritório" u="1"/>
        <s v="Guarda de Documentos Administrativos" u="1"/>
        <s v="Manutenções e Lavagens de Veículos Frota" u="1"/>
        <s v="Gestão de Sistemas de Frotas " u="1"/>
        <s v="Fretamento Aéreo" u="1"/>
        <s v="Outras Despesas Gerais - Diretoria / Presidência (Farmácia / Guloseimas / Jornais / Revistas)" u="1"/>
        <s v="Abastecimento Aeronaves" u="1"/>
        <s v="Hangaragem e Limpeza de Aeronaves" u="1"/>
        <s v="Manutenção de Aeronaves" u="1"/>
        <s v="Outras Despesas Gerais - Aeronaves" u="1"/>
        <s v="Auditoria / Consultoria - Contábeis / Fiscais" u="1"/>
        <s v="Outras Despesas Gerais - Contábeis / Fiscais" u="1"/>
        <s v="Acessórios e Equipamentos Periféricos de Informática (OPEX)" u="1"/>
        <s v="Locações e Manutenções de Equipamentos de Informática (OPEX)" u="1"/>
        <s v="Suporte e Manutenção de Sistemas de Tecnologia (OPEX)" u="1"/>
        <s v="Conectividade (Internet)" u="1"/>
        <s v="Telefonia Fixa" u="1"/>
        <s v="Telefonia Móvel (Conta de Celular)" u="1"/>
        <s v="Patrocínios Institucional" u="1"/>
        <s v="Materiais Gráficos Institucionais" u="1"/>
        <s v="Outras Despesas Gerais - Institucionais" u="1"/>
        <s v="Novas Tecnologias de Projetos de Obras " u="1"/>
        <s v="Assessoria / Consultoria de Projetos de Obras" u="1"/>
        <s v="Projetos de Casas" u="1"/>
        <s v="Outras Despesas Gerais - Ocupação (IPTU/Seguro/TFE/Sistema de Monitoramento)" u="1"/>
        <s v="Assesoria de Imprensa" u="1"/>
        <s v="Assessoria de Imprensa" u="1"/>
        <s v="Eventos - Institucionais" u="1"/>
        <s v="Materiais Gráficos - Institucionais" u="1"/>
        <s v="Publicações Institucionais" u="1"/>
        <s v="Depreciacao" u="1"/>
        <s v="Stock Option Program" u="1"/>
        <m u="1"/>
        <s v="POTE" u="1"/>
      </sharedItems>
    </cacheField>
    <cacheField name="Mês" numFmtId="164">
      <sharedItems containsSemiMixedTypes="0" containsNonDate="0" containsDate="1" containsString="0" minDate="2026-01-01T00:00:00" maxDate="2026-05-02T00:00:00" count="5">
        <d v="2026-01-01T00:00:00"/>
        <d v="2026-02-01T00:00:00"/>
        <d v="2026-03-01T00:00:00"/>
        <d v="2026-04-01T00:00:00"/>
        <d v="2026-05-01T00:00:00"/>
      </sharedItems>
      <fieldGroup par="10"/>
    </cacheField>
    <cacheField name="Total" numFmtId="4">
      <sharedItems containsString="0" containsBlank="1" containsNumber="1" minValue="0" maxValue="150000"/>
    </cacheField>
    <cacheField name="Dias (Mês)" numFmtId="0" databaseField="0">
      <fieldGroup base="7">
        <rangePr groupBy="days" startDate="2026-01-01T00:00:00" endDate="2026-05-02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05/2026"/>
        </groupItems>
      </fieldGroup>
    </cacheField>
    <cacheField name="Meses (Mês)" numFmtId="0" databaseField="0">
      <fieldGroup base="7">
        <rangePr groupBy="months" startDate="2026-01-01T00:00:00" endDate="2026-05-0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 pivotCacheId="3627145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1000"/>
    <x v="0"/>
    <n v="1003"/>
    <x v="0"/>
    <s v="Opex"/>
    <x v="0"/>
    <x v="0"/>
    <n v="20000"/>
    <n v="26300.71"/>
    <n v="0.31503550000000002"/>
    <n v="-6300.7099999999991"/>
    <n v="20000"/>
    <n v="13036.2"/>
    <n v="-0.34819"/>
    <n v="6963.7999999999993"/>
    <n v="20000"/>
    <n v="40443.849999999991"/>
    <n v="1.0221924999999996"/>
    <n v="-20443.849999999991"/>
    <n v="20000"/>
    <n v="0"/>
    <n v="-1"/>
    <n v="20000"/>
    <n v="15000"/>
    <n v="24891.360000000004"/>
    <n v="0.65942400000000023"/>
    <n v="-9891.3600000000042"/>
    <n v="95000"/>
    <n v="104672.12"/>
    <n v="0.10181178947368408"/>
    <n v="-9672.1199999999953"/>
  </r>
  <r>
    <n v="1000"/>
    <x v="0"/>
    <n v="1003"/>
    <x v="0"/>
    <s v="Opex"/>
    <x v="0"/>
    <x v="1"/>
    <n v="600"/>
    <n v="0"/>
    <n v="-1"/>
    <n v="600"/>
    <n v="600"/>
    <n v="0"/>
    <n v="-1"/>
    <n v="600"/>
    <n v="600"/>
    <n v="0"/>
    <n v="-1"/>
    <n v="600"/>
    <n v="600"/>
    <n v="0"/>
    <n v="-1"/>
    <n v="600"/>
    <n v="600"/>
    <n v="0"/>
    <n v="-1"/>
    <n v="600"/>
    <n v="3000"/>
    <n v="0"/>
    <n v="-1"/>
    <n v="3000"/>
  </r>
  <r>
    <n v="1000"/>
    <x v="0"/>
    <n v="1003"/>
    <x v="0"/>
    <s v="Opex"/>
    <x v="0"/>
    <x v="2"/>
    <n v="5000"/>
    <n v="0"/>
    <n v="-1"/>
    <n v="5000"/>
    <n v="5000"/>
    <n v="0"/>
    <n v="-1"/>
    <n v="5000"/>
    <n v="5000"/>
    <n v="3008.42"/>
    <n v="-0.398316"/>
    <n v="1991.58"/>
    <n v="10000"/>
    <n v="0"/>
    <n v="-1"/>
    <n v="10000"/>
    <n v="10000"/>
    <n v="13478.42"/>
    <n v="0.34784199999999998"/>
    <n v="-3478.42"/>
    <n v="35000"/>
    <n v="16486.84"/>
    <n v="-0.52894742857142862"/>
    <n v="18513.16"/>
  </r>
  <r>
    <n v="1159"/>
    <x v="1"/>
    <n v="1150"/>
    <x v="1"/>
    <s v="Opex"/>
    <x v="1"/>
    <x v="3"/>
    <n v="200"/>
    <n v="0"/>
    <n v="-1"/>
    <n v="200"/>
    <n v="200"/>
    <n v="0"/>
    <n v="-1"/>
    <n v="200"/>
    <n v="200"/>
    <n v="415"/>
    <n v="1.0750000000000002"/>
    <n v="-215"/>
    <n v="200"/>
    <n v="0"/>
    <n v="-1"/>
    <n v="200"/>
    <n v="200"/>
    <n v="134"/>
    <n v="-0.32999999999999996"/>
    <n v="66"/>
    <n v="1000"/>
    <n v="549"/>
    <n v="-0.45099999999999996"/>
    <n v="451"/>
  </r>
  <r>
    <n v="1159"/>
    <x v="1"/>
    <n v="1150"/>
    <x v="1"/>
    <s v="Opex"/>
    <x v="2"/>
    <x v="4"/>
    <n v="5000"/>
    <n v="0"/>
    <n v="-1"/>
    <n v="5000"/>
    <n v="5000"/>
    <n v="0"/>
    <n v="-1"/>
    <n v="5000"/>
    <n v="5000"/>
    <n v="0"/>
    <n v="-1"/>
    <n v="5000"/>
    <n v="5000"/>
    <n v="0"/>
    <n v="-1"/>
    <n v="5000"/>
    <n v="5000"/>
    <n v="0"/>
    <n v="-1"/>
    <n v="5000"/>
    <n v="25000"/>
    <n v="0"/>
    <n v="-1"/>
    <n v="25000"/>
  </r>
  <r>
    <n v="1159"/>
    <x v="1"/>
    <n v="1150"/>
    <x v="1"/>
    <s v="Opex"/>
    <x v="2"/>
    <x v="5"/>
    <n v="3023.6305000000002"/>
    <n v="9393.56"/>
    <n v="2.1067155857833817"/>
    <n v="-6369.9294999999993"/>
    <n v="3023.6305000000002"/>
    <n v="1199.68"/>
    <n v="-0.603231942527369"/>
    <n v="1823.9505000000001"/>
    <n v="3023.6305000000002"/>
    <n v="8539.1200000000008"/>
    <n v="1.8241281466105068"/>
    <n v="-5515.4895000000006"/>
    <n v="3023.6305000000002"/>
    <n v="5896.17"/>
    <n v="0.95002993917411516"/>
    <n v="-2872.5394999999999"/>
    <n v="3023.6305000000002"/>
    <n v="3357.18"/>
    <n v="0.11031423978558208"/>
    <n v="-333.54949999999963"/>
    <n v="15118.1525"/>
    <n v="28385.71"/>
    <n v="0.87759119376524342"/>
    <n v="-13267.557499999999"/>
  </r>
  <r>
    <n v="1159"/>
    <x v="1"/>
    <n v="1150"/>
    <x v="1"/>
    <s v="Opex"/>
    <x v="3"/>
    <x v="6"/>
    <n v="140000"/>
    <n v="122138.92"/>
    <n v="-0.12757914285714289"/>
    <n v="17861.080000000002"/>
    <n v="140000"/>
    <n v="134566.62"/>
    <n v="-3.8809857142857229E-2"/>
    <n v="5433.3800000000047"/>
    <n v="150000"/>
    <n v="131058.27"/>
    <n v="-0.12627820000000001"/>
    <n v="18941.729999999996"/>
    <n v="140000"/>
    <n v="133702.95000000001"/>
    <n v="-4.4978928571428489E-2"/>
    <n v="6297.0499999999884"/>
    <n v="140000"/>
    <n v="222300.09"/>
    <n v="0.58785778571428571"/>
    <n v="-82300.09"/>
    <n v="710000"/>
    <n v="743766.85"/>
    <n v="4.7558943661971886E-2"/>
    <n v="-33766.849999999977"/>
  </r>
  <r>
    <n v="1159"/>
    <x v="1"/>
    <n v="1150"/>
    <x v="1"/>
    <s v="Opex"/>
    <x v="3"/>
    <x v="7"/>
    <n v="150000"/>
    <n v="3305.79"/>
    <n v="-0.97796139999999998"/>
    <n v="146694.21"/>
    <n v="150000"/>
    <n v="27888.57"/>
    <n v="-0.81407620000000003"/>
    <n v="122111.43"/>
    <n v="150000"/>
    <n v="55691.07"/>
    <n v="-0.62872620000000001"/>
    <n v="94308.93"/>
    <n v="100000"/>
    <n v="2626.99"/>
    <n v="-0.97373010000000004"/>
    <n v="97373.01"/>
    <n v="100000"/>
    <n v="162080.87"/>
    <n v="0.62080869999999999"/>
    <n v="-62080.869999999995"/>
    <n v="650000"/>
    <n v="251593.28999999998"/>
    <n v="-0.61293339999999996"/>
    <n v="398406.71"/>
  </r>
  <r>
    <n v="1159"/>
    <x v="1"/>
    <n v="1150"/>
    <x v="1"/>
    <s v="Opex"/>
    <x v="3"/>
    <x v="8"/>
    <n v="10000"/>
    <n v="0"/>
    <n v="-1"/>
    <n v="10000"/>
    <n v="15000"/>
    <n v="0"/>
    <n v="-1"/>
    <n v="15000"/>
    <n v="30000"/>
    <n v="0"/>
    <n v="-1"/>
    <n v="30000"/>
    <n v="10000"/>
    <n v="0"/>
    <n v="-1"/>
    <n v="10000"/>
    <n v="30000"/>
    <n v="0"/>
    <n v="-1"/>
    <n v="30000"/>
    <n v="95000"/>
    <n v="0"/>
    <n v="-1"/>
    <n v="95000"/>
  </r>
  <r>
    <n v="1159"/>
    <x v="1"/>
    <n v="1150"/>
    <x v="1"/>
    <s v="Opex"/>
    <x v="3"/>
    <x v="9"/>
    <n v="29671.843625000001"/>
    <n v="10337.049999999999"/>
    <n v="-0.65162090597934663"/>
    <n v="19334.793625000002"/>
    <n v="34671.843625000001"/>
    <n v="15720.03"/>
    <n v="-0.54660530400335761"/>
    <n v="18951.813625000003"/>
    <n v="29671.843625000001"/>
    <n v="17221.79"/>
    <n v="-0.41959150844641857"/>
    <n v="12450.053625"/>
    <n v="29671.843625000001"/>
    <n v="13984.25"/>
    <n v="-0.52870302982395145"/>
    <n v="15687.593625000001"/>
    <n v="35000"/>
    <n v="8716.2000000000007"/>
    <n v="-0.75096571428571424"/>
    <n v="26283.8"/>
    <n v="158687.37450000001"/>
    <n v="65979.320000000007"/>
    <n v="-0.58421821390711837"/>
    <n v="92708.054499999998"/>
  </r>
  <r>
    <n v="1159"/>
    <x v="1"/>
    <n v="1150"/>
    <x v="1"/>
    <s v="Opex"/>
    <x v="4"/>
    <x v="10"/>
    <n v="2500"/>
    <n v="79.02"/>
    <n v="-0.96839200000000003"/>
    <n v="2420.98"/>
    <n v="2000"/>
    <n v="0"/>
    <n v="-1"/>
    <n v="2000"/>
    <n v="2000"/>
    <n v="0"/>
    <n v="-1"/>
    <n v="2000"/>
    <n v="5000"/>
    <n v="0"/>
    <n v="-1"/>
    <n v="5000"/>
    <n v="2500"/>
    <n v="795.1"/>
    <n v="-0.68196000000000001"/>
    <n v="1704.9"/>
    <n v="14000"/>
    <n v="874.12"/>
    <n v="-0.93756285714285714"/>
    <n v="13125.88"/>
  </r>
  <r>
    <n v="1159"/>
    <x v="1"/>
    <n v="1150"/>
    <x v="1"/>
    <s v="Opex"/>
    <x v="5"/>
    <x v="11"/>
    <n v="1000"/>
    <n v="0"/>
    <n v="-1"/>
    <n v="1000"/>
    <n v="74.944374999999994"/>
    <n v="0"/>
    <n v="-1"/>
    <n v="74.944374999999994"/>
    <n v="1000"/>
    <n v="0"/>
    <n v="-1"/>
    <n v="1000"/>
    <n v="1000"/>
    <n v="0"/>
    <n v="-1"/>
    <n v="1000"/>
    <n v="74.944374999999994"/>
    <n v="440.5"/>
    <n v="4.8776926220280048"/>
    <n v="-365.55562500000002"/>
    <n v="3149.8887500000001"/>
    <n v="440.5"/>
    <n v="-0.86015379114579837"/>
    <n v="2709.3887500000001"/>
  </r>
  <r>
    <n v="1159"/>
    <x v="1"/>
    <n v="1150"/>
    <x v="1"/>
    <s v="Opex"/>
    <x v="1"/>
    <x v="12"/>
    <n v="120"/>
    <n v="0"/>
    <n v="-1"/>
    <n v="120"/>
    <n v="120"/>
    <n v="0"/>
    <n v="-1"/>
    <n v="120"/>
    <n v="120"/>
    <n v="0"/>
    <n v="-1"/>
    <n v="120"/>
    <n v="120"/>
    <n v="0"/>
    <n v="-1"/>
    <n v="120"/>
    <n v="120"/>
    <n v="0"/>
    <n v="-1"/>
    <n v="120"/>
    <n v="600"/>
    <n v="0"/>
    <n v="-1"/>
    <n v="600"/>
  </r>
  <r>
    <n v="1159"/>
    <x v="1"/>
    <n v="1150"/>
    <x v="1"/>
    <s v="Opex"/>
    <x v="4"/>
    <x v="13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4"/>
    <x v="14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4"/>
    <x v="15"/>
    <n v="0"/>
    <n v="0"/>
    <n v="-1"/>
    <n v="0"/>
    <n v="200"/>
    <n v="0"/>
    <n v="-1"/>
    <n v="200"/>
    <n v="0"/>
    <n v="0"/>
    <n v="-1"/>
    <n v="0"/>
    <n v="0"/>
    <n v="0"/>
    <n v="-1"/>
    <n v="0"/>
    <n v="200"/>
    <n v="0"/>
    <n v="-1"/>
    <n v="200"/>
    <n v="400"/>
    <n v="0"/>
    <n v="-1"/>
    <n v="400"/>
  </r>
  <r>
    <n v="1159"/>
    <x v="1"/>
    <n v="1159"/>
    <x v="2"/>
    <s v="Opex"/>
    <x v="1"/>
    <x v="3"/>
    <n v="37.5"/>
    <n v="0"/>
    <n v="-1"/>
    <n v="37.5"/>
    <n v="37.5"/>
    <n v="0"/>
    <n v="-1"/>
    <n v="37.5"/>
    <n v="37.5"/>
    <n v="0"/>
    <n v="-1"/>
    <n v="37.5"/>
    <n v="37.5"/>
    <n v="0"/>
    <n v="-1"/>
    <n v="37.5"/>
    <n v="37.5"/>
    <n v="0"/>
    <n v="-1"/>
    <n v="37.5"/>
    <n v="187.5"/>
    <n v="0"/>
    <n v="-1"/>
    <n v="187.5"/>
  </r>
  <r>
    <n v="1159"/>
    <x v="1"/>
    <n v="1159"/>
    <x v="2"/>
    <s v="Opex"/>
    <x v="6"/>
    <x v="16"/>
    <n v="550"/>
    <n v="3334"/>
    <n v="5.0618181818181816"/>
    <n v="-2784"/>
    <n v="524.68212500000004"/>
    <n v="2100"/>
    <n v="3.0024233720559854"/>
    <n v="-1575.317875"/>
    <n v="1000"/>
    <n v="128.38999999999999"/>
    <n v="-0.87161"/>
    <n v="871.61"/>
    <n v="524.68212500000004"/>
    <n v="4033.5"/>
    <n v="6.687511748184674"/>
    <n v="-3508.8178749999997"/>
    <n v="524.68212500000004"/>
    <n v="8030.09"/>
    <n v="14.304676140815737"/>
    <n v="-7505.4078749999999"/>
    <n v="3124.0463750000008"/>
    <n v="17625.98"/>
    <n v="4.642035323499317"/>
    <n v="-14501.933624999998"/>
  </r>
  <r>
    <n v="1159"/>
    <x v="1"/>
    <n v="1159"/>
    <x v="2"/>
    <s v="Opex"/>
    <x v="3"/>
    <x v="9"/>
    <n v="2000"/>
    <n v="165.39"/>
    <n v="-0.91730500000000004"/>
    <n v="1834.6100000000001"/>
    <n v="182.87500000000003"/>
    <n v="0"/>
    <n v="-1"/>
    <n v="182.87500000000003"/>
    <n v="1000"/>
    <n v="0"/>
    <n v="-1"/>
    <n v="1000"/>
    <n v="2000"/>
    <n v="186.9"/>
    <n v="-0.90654999999999997"/>
    <n v="1813.1"/>
    <n v="182.87500000000003"/>
    <n v="2532.84"/>
    <n v="12.850116199589882"/>
    <n v="-2349.9650000000001"/>
    <n v="5365.75"/>
    <n v="2885.13"/>
    <n v="-0.46230629455341754"/>
    <n v="2480.62"/>
  </r>
  <r>
    <n v="1159"/>
    <x v="1"/>
    <n v="1159"/>
    <x v="2"/>
    <s v="Opex"/>
    <x v="7"/>
    <x v="17"/>
    <n v="2402.321625"/>
    <n v="2178.56"/>
    <n v="-9.314390823918095E-2"/>
    <n v="223.76162500000009"/>
    <n v="2402.321625"/>
    <n v="2270.39"/>
    <n v="-5.4918385459732155E-2"/>
    <n v="131.93162500000017"/>
    <n v="2402.321625"/>
    <n v="2314.4299999999998"/>
    <n v="-3.6586119063054312E-2"/>
    <n v="87.891625000000204"/>
    <n v="2402.321625"/>
    <n v="3103.76"/>
    <n v="0.29198354112971869"/>
    <n v="-701.43837500000018"/>
    <n v="2402.321625"/>
    <n v="2429.8200000000002"/>
    <n v="1.1446583469022498E-2"/>
    <n v="-27.498375000000124"/>
    <n v="12011.608125000001"/>
    <n v="12296.96"/>
    <n v="2.3756342367354577E-2"/>
    <n v="-285.35187499999847"/>
  </r>
  <r>
    <n v="1159"/>
    <x v="1"/>
    <n v="1159"/>
    <x v="2"/>
    <s v="Opex"/>
    <x v="7"/>
    <x v="18"/>
    <n v="6544.64"/>
    <n v="5836.8"/>
    <n v="-0.10815568159593192"/>
    <n v="707.84000000000015"/>
    <n v="6544.64"/>
    <n v="5638.75"/>
    <n v="-0.13841708634852345"/>
    <n v="905.89000000000033"/>
    <n v="6544.64"/>
    <n v="5698.23"/>
    <n v="-0.12932873313123427"/>
    <n v="846.41000000000076"/>
    <n v="6544.64"/>
    <n v="6698.49"/>
    <n v="2.3507786524545216E-2"/>
    <n v="-153.84999999999945"/>
    <n v="6544.64"/>
    <n v="3297.32"/>
    <n v="-0.49618008018775672"/>
    <n v="3247.32"/>
    <n v="32723.200000000001"/>
    <n v="27169.589999999997"/>
    <n v="-0.16971475894778032"/>
    <n v="5553.6100000000042"/>
  </r>
  <r>
    <n v="1159"/>
    <x v="1"/>
    <n v="1159"/>
    <x v="2"/>
    <s v="Opex"/>
    <x v="7"/>
    <x v="19"/>
    <n v="0"/>
    <n v="224"/>
    <n v="-1"/>
    <n v="-224"/>
    <n v="0"/>
    <n v="0"/>
    <n v="-1"/>
    <n v="0"/>
    <n v="0"/>
    <n v="0"/>
    <n v="-1"/>
    <n v="0"/>
    <n v="0"/>
    <n v="0"/>
    <n v="-1"/>
    <n v="0"/>
    <n v="0"/>
    <n v="0"/>
    <n v="-1"/>
    <n v="0"/>
    <n v="0"/>
    <n v="224"/>
    <n v="-1"/>
    <n v="-224"/>
  </r>
  <r>
    <n v="1159"/>
    <x v="1"/>
    <n v="1159"/>
    <x v="2"/>
    <s v="Opex"/>
    <x v="7"/>
    <x v="20"/>
    <n v="0"/>
    <n v="1659.16"/>
    <n v="-1"/>
    <n v="-1659.16"/>
    <n v="0"/>
    <n v="0"/>
    <n v="-1"/>
    <n v="0"/>
    <n v="0"/>
    <n v="0"/>
    <n v="-1"/>
    <n v="0"/>
    <n v="0"/>
    <n v="0"/>
    <n v="-1"/>
    <n v="0"/>
    <n v="0"/>
    <n v="0"/>
    <n v="-1"/>
    <n v="0"/>
    <n v="0"/>
    <n v="1659.16"/>
    <n v="-1"/>
    <n v="-1659.16"/>
  </r>
  <r>
    <n v="1159"/>
    <x v="1"/>
    <n v="1159"/>
    <x v="2"/>
    <s v="Opex"/>
    <x v="5"/>
    <x v="21"/>
    <n v="4940.6046249999999"/>
    <n v="2413.4299999999998"/>
    <n v="-0.51151120496714508"/>
    <n v="2527.1746250000001"/>
    <n v="6000"/>
    <n v="332.47"/>
    <n v="-0.94458833333333336"/>
    <n v="5667.53"/>
    <n v="6000"/>
    <n v="0"/>
    <n v="-1"/>
    <n v="6000"/>
    <n v="4940.6046249999999"/>
    <n v="4401.4399999999996"/>
    <n v="-0.1091292799006357"/>
    <n v="539.16462500000034"/>
    <n v="4940.6046249999999"/>
    <n v="2.4700000000000002"/>
    <n v="-0.99950006118937318"/>
    <n v="4938.1346249999997"/>
    <n v="26821.813875"/>
    <n v="7149.8099999999995"/>
    <n v="-0.73343301712103171"/>
    <n v="19672.003875000002"/>
  </r>
  <r>
    <n v="1159"/>
    <x v="1"/>
    <n v="1159"/>
    <x v="2"/>
    <s v="Opex"/>
    <x v="5"/>
    <x v="22"/>
    <n v="6000"/>
    <n v="13282.22"/>
    <n v="1.2137033333333331"/>
    <n v="-7282.2199999999993"/>
    <n v="6000"/>
    <n v="5578.31"/>
    <n v="-7.0281666666666576E-2"/>
    <n v="421.6899999999996"/>
    <n v="5500"/>
    <n v="6594.25"/>
    <n v="0.19895454545454538"/>
    <n v="-1094.25"/>
    <n v="6000"/>
    <n v="12687.98"/>
    <n v="1.1146633333333331"/>
    <n v="-6687.98"/>
    <n v="4381.7345000000005"/>
    <n v="23009.82"/>
    <n v="4.2513040212728539"/>
    <n v="-18628.085500000001"/>
    <n v="27881.734499999999"/>
    <n v="61152.579999999994"/>
    <n v="1.1932846394473771"/>
    <n v="-33270.845499999996"/>
  </r>
  <r>
    <n v="1159"/>
    <x v="1"/>
    <n v="1159"/>
    <x v="2"/>
    <s v="Opex"/>
    <x v="5"/>
    <x v="23"/>
    <n v="0"/>
    <n v="408.39"/>
    <n v="-1"/>
    <n v="-408.39"/>
    <n v="0"/>
    <n v="0"/>
    <n v="-1"/>
    <n v="0"/>
    <n v="0"/>
    <n v="0"/>
    <n v="-1"/>
    <n v="0"/>
    <n v="0"/>
    <n v="0"/>
    <n v="-1"/>
    <n v="0"/>
    <n v="0"/>
    <n v="0"/>
    <n v="-1"/>
    <n v="0"/>
    <n v="0"/>
    <n v="408.39"/>
    <n v="-1"/>
    <n v="-408.39"/>
  </r>
  <r>
    <n v="1159"/>
    <x v="1"/>
    <n v="1159"/>
    <x v="2"/>
    <s v="Opex"/>
    <x v="7"/>
    <x v="24"/>
    <n v="891.80850000000021"/>
    <n v="666.8"/>
    <n v="-0.25230584817256196"/>
    <n v="225.00850000000025"/>
    <n v="891.80850000000021"/>
    <n v="892.9"/>
    <n v="1.2239174665857888E-3"/>
    <n v="-1.091499999999769"/>
    <n v="891.80850000000021"/>
    <n v="577.5"/>
    <n v="-0.35243945308886393"/>
    <n v="314.30850000000021"/>
    <n v="1000"/>
    <n v="981.12"/>
    <n v="-1.8880000000000008E-2"/>
    <n v="18.879999999999995"/>
    <n v="891.80850000000021"/>
    <n v="846.7"/>
    <n v="-5.058092628630495E-2"/>
    <n v="45.108500000000163"/>
    <n v="4567.2340000000013"/>
    <n v="3965.0199999999995"/>
    <n v="-0.13185529797685025"/>
    <n v="602.21400000000176"/>
  </r>
  <r>
    <n v="1159"/>
    <x v="1"/>
    <n v="1159"/>
    <x v="2"/>
    <s v="Opex"/>
    <x v="5"/>
    <x v="25"/>
    <n v="725.81024999999988"/>
    <n v="1064.31"/>
    <n v="0.46637499263753868"/>
    <n v="-338.49975000000006"/>
    <n v="1000"/>
    <n v="338.55"/>
    <n v="-0.66144999999999998"/>
    <n v="661.45"/>
    <n v="1000"/>
    <n v="639.29999999999995"/>
    <n v="-0.36070000000000002"/>
    <n v="360.70000000000005"/>
    <n v="725.81024999999988"/>
    <n v="1734.32"/>
    <n v="1.3894950505314583"/>
    <n v="-1008.5097500000001"/>
    <n v="725.81024999999988"/>
    <n v="2168.67"/>
    <n v="1.9879296965012556"/>
    <n v="-1442.8597500000001"/>
    <n v="4177.4307499999995"/>
    <n v="5945.15"/>
    <n v="0.42315943837010361"/>
    <n v="-1767.7192500000001"/>
  </r>
  <r>
    <n v="1159"/>
    <x v="1"/>
    <n v="1159"/>
    <x v="2"/>
    <s v="Opex"/>
    <x v="5"/>
    <x v="11"/>
    <n v="600"/>
    <n v="643.08000000000004"/>
    <n v="7.1800000000000086E-2"/>
    <n v="-43.080000000000041"/>
    <n v="600"/>
    <n v="669.09"/>
    <n v="0.11515000000000009"/>
    <n v="-69.090000000000032"/>
    <n v="600"/>
    <n v="293.45"/>
    <n v="-0.51091666666666669"/>
    <n v="306.55"/>
    <n v="600"/>
    <n v="205"/>
    <n v="-0.65833333333333333"/>
    <n v="395"/>
    <n v="600"/>
    <n v="743.12"/>
    <n v="0.23853333333333326"/>
    <n v="-143.12"/>
    <n v="3000"/>
    <n v="2553.7400000000002"/>
    <n v="-0.14875333333333329"/>
    <n v="446.25999999999976"/>
  </r>
  <r>
    <n v="1159"/>
    <x v="1"/>
    <n v="1160"/>
    <x v="3"/>
    <s v="Opex"/>
    <x v="1"/>
    <x v="3"/>
    <n v="137.5"/>
    <n v="0"/>
    <n v="-1"/>
    <n v="137.5"/>
    <n v="137.5"/>
    <n v="0"/>
    <n v="-1"/>
    <n v="137.5"/>
    <n v="137.5"/>
    <n v="55"/>
    <n v="-0.6"/>
    <n v="82.5"/>
    <n v="137.5"/>
    <n v="0"/>
    <n v="-1"/>
    <n v="137.5"/>
    <n v="137.5"/>
    <n v="0"/>
    <n v="-1"/>
    <n v="137.5"/>
    <n v="687.5"/>
    <n v="55"/>
    <n v="-0.92"/>
    <n v="632.5"/>
  </r>
  <r>
    <n v="1159"/>
    <x v="1"/>
    <n v="1160"/>
    <x v="3"/>
    <s v="Opex"/>
    <x v="2"/>
    <x v="4"/>
    <n v="25000"/>
    <n v="0"/>
    <n v="-1"/>
    <n v="25000"/>
    <n v="25000"/>
    <n v="0"/>
    <n v="-1"/>
    <n v="25000"/>
    <n v="25000"/>
    <n v="0"/>
    <n v="-1"/>
    <n v="25000"/>
    <n v="30000"/>
    <n v="0"/>
    <n v="-1"/>
    <n v="30000"/>
    <n v="25000"/>
    <n v="0"/>
    <n v="-1"/>
    <n v="25000"/>
    <n v="130000"/>
    <n v="0"/>
    <n v="-1"/>
    <n v="130000"/>
  </r>
  <r>
    <n v="1159"/>
    <x v="1"/>
    <n v="1160"/>
    <x v="3"/>
    <s v="Opex"/>
    <x v="2"/>
    <x v="5"/>
    <n v="0"/>
    <n v="1570.69"/>
    <n v="-1"/>
    <n v="-1570.69"/>
    <n v="0"/>
    <n v="4300.55"/>
    <n v="-1"/>
    <n v="-4300.55"/>
    <n v="0"/>
    <n v="1210.6500000000001"/>
    <n v="-1"/>
    <n v="-1210.6500000000001"/>
    <n v="0"/>
    <n v="0"/>
    <n v="-1"/>
    <n v="0"/>
    <n v="0"/>
    <n v="5764.92"/>
    <n v="-1"/>
    <n v="-5764.92"/>
    <n v="0"/>
    <n v="12846.81"/>
    <n v="-1"/>
    <n v="-12846.81"/>
  </r>
  <r>
    <n v="1159"/>
    <x v="1"/>
    <n v="1160"/>
    <x v="3"/>
    <s v="Opex"/>
    <x v="3"/>
    <x v="7"/>
    <n v="10000"/>
    <n v="5000"/>
    <n v="-0.5"/>
    <n v="5000"/>
    <n v="10000"/>
    <n v="5000"/>
    <n v="-0.5"/>
    <n v="5000"/>
    <n v="10000"/>
    <n v="251000"/>
    <n v="24.1"/>
    <n v="-241000"/>
    <n v="10000"/>
    <n v="100000"/>
    <n v="9"/>
    <n v="-90000"/>
    <n v="10000"/>
    <n v="0"/>
    <n v="-1"/>
    <n v="10000"/>
    <n v="50000"/>
    <n v="361000"/>
    <n v="6.22"/>
    <n v="-311000"/>
  </r>
  <r>
    <n v="1159"/>
    <x v="1"/>
    <n v="1160"/>
    <x v="3"/>
    <s v="Opex"/>
    <x v="3"/>
    <x v="6"/>
    <n v="7000"/>
    <n v="0"/>
    <n v="-1"/>
    <n v="7000"/>
    <n v="7000"/>
    <n v="0"/>
    <n v="-1"/>
    <n v="7000"/>
    <n v="7000"/>
    <n v="5000"/>
    <n v="-0.2857142857142857"/>
    <n v="2000"/>
    <n v="7000"/>
    <n v="5000"/>
    <n v="-0.2857142857142857"/>
    <n v="2000"/>
    <n v="7000"/>
    <n v="5000"/>
    <n v="-0.2857142857142857"/>
    <n v="2000"/>
    <n v="35000"/>
    <n v="15000"/>
    <n v="-0.5714285714285714"/>
    <n v="20000"/>
  </r>
  <r>
    <n v="1159"/>
    <x v="1"/>
    <n v="1160"/>
    <x v="3"/>
    <s v="Opex"/>
    <x v="3"/>
    <x v="9"/>
    <n v="5000"/>
    <n v="0"/>
    <n v="-1"/>
    <n v="5000"/>
    <n v="5000"/>
    <n v="0"/>
    <n v="-1"/>
    <n v="5000"/>
    <n v="5000"/>
    <n v="0"/>
    <n v="-1"/>
    <n v="5000"/>
    <n v="5000"/>
    <n v="0"/>
    <n v="-1"/>
    <n v="5000"/>
    <n v="5000"/>
    <n v="0"/>
    <n v="-1"/>
    <n v="5000"/>
    <n v="25000"/>
    <n v="0"/>
    <n v="-1"/>
    <n v="25000"/>
  </r>
  <r>
    <n v="1159"/>
    <x v="1"/>
    <n v="1160"/>
    <x v="3"/>
    <s v="Opex"/>
    <x v="4"/>
    <x v="10"/>
    <n v="21000"/>
    <n v="10732.61"/>
    <n v="-0.48892333333333327"/>
    <n v="10267.39"/>
    <n v="21000"/>
    <n v="8447.91"/>
    <n v="-0.59771857142857143"/>
    <n v="12552.09"/>
    <n v="21000"/>
    <n v="1364.14"/>
    <n v="-0.93504095238095242"/>
    <n v="19635.86"/>
    <n v="21000"/>
    <n v="-79.3"/>
    <n v="-1.0037761904761904"/>
    <n v="21079.3"/>
    <n v="21000"/>
    <n v="171.8"/>
    <n v="-0.9918190476190476"/>
    <n v="20828.2"/>
    <n v="105000"/>
    <n v="20637.16"/>
    <n v="-0.80345561904761909"/>
    <n v="84362.84"/>
  </r>
  <r>
    <n v="1159"/>
    <x v="1"/>
    <n v="1160"/>
    <x v="3"/>
    <s v="Opex"/>
    <x v="5"/>
    <x v="11"/>
    <n v="300"/>
    <n v="0"/>
    <n v="-1"/>
    <n v="300"/>
    <n v="300"/>
    <n v="186"/>
    <n v="-0.38"/>
    <n v="114"/>
    <n v="300"/>
    <n v="0"/>
    <n v="-1"/>
    <n v="300"/>
    <n v="300"/>
    <n v="0"/>
    <n v="-1"/>
    <n v="300"/>
    <n v="300"/>
    <n v="0"/>
    <n v="-1"/>
    <n v="300"/>
    <n v="1500"/>
    <n v="186"/>
    <n v="-0.876"/>
    <n v="1314"/>
  </r>
  <r>
    <n v="1159"/>
    <x v="1"/>
    <n v="1160"/>
    <x v="3"/>
    <s v="Opex"/>
    <x v="4"/>
    <x v="15"/>
    <n v="0"/>
    <n v="0"/>
    <n v="-1"/>
    <n v="0"/>
    <n v="0"/>
    <n v="0"/>
    <n v="-1"/>
    <n v="0"/>
    <n v="0"/>
    <n v="0"/>
    <n v="-1"/>
    <n v="0"/>
    <n v="0"/>
    <n v="0"/>
    <n v="-1"/>
    <n v="0"/>
    <n v="0"/>
    <n v="97.5"/>
    <n v="-1"/>
    <n v="-97.5"/>
    <n v="0"/>
    <n v="97.5"/>
    <n v="-1"/>
    <n v="-97.5"/>
  </r>
  <r>
    <n v="1159"/>
    <x v="1"/>
    <n v="1150"/>
    <x v="1"/>
    <s v="Opex"/>
    <x v="8"/>
    <x v="26"/>
    <n v="2065.9478260000001"/>
    <n v="0"/>
    <n v="-1"/>
    <n v="2065.9478260000001"/>
    <n v="2065.9478260000001"/>
    <n v="0"/>
    <n v="-1"/>
    <n v="2065.9478260000001"/>
    <n v="2065.9478260000001"/>
    <n v="0"/>
    <n v="-1"/>
    <n v="2065.9478260000001"/>
    <n v="2065.9478260000001"/>
    <n v="0"/>
    <n v="-1"/>
    <n v="2065.9478260000001"/>
    <n v="2331.6792036699999"/>
    <n v="0"/>
    <n v="-1"/>
    <n v="2331.6792036699999"/>
    <n v="10595.470507670001"/>
    <n v="0"/>
    <n v="-1"/>
    <n v="10595.470507670001"/>
  </r>
  <r>
    <n v="1159"/>
    <x v="1"/>
    <n v="1150"/>
    <x v="1"/>
    <s v="Opex"/>
    <x v="8"/>
    <x v="27"/>
    <n v="6190.4120109999985"/>
    <n v="5982.31"/>
    <n v="-3.3616827220904422E-2"/>
    <n v="208.10201099999813"/>
    <n v="6190.4120109999985"/>
    <n v="5315.64"/>
    <n v="-0.14131078988693802"/>
    <n v="874.7720109999982"/>
    <n v="6190.4120109999985"/>
    <n v="5526.21"/>
    <n v="-0.10729528338659056"/>
    <n v="664.20201099999849"/>
    <n v="6190.4120109999985"/>
    <n v="6730.17"/>
    <n v="8.7192579111193824E-2"/>
    <n v="-539.75798900000154"/>
    <n v="6986.6502757449989"/>
    <n v="5532.96"/>
    <n v="-0.20806684439203438"/>
    <n v="1453.6902757449989"/>
    <n v="31748.298319744994"/>
    <n v="29087.29"/>
    <n v="-8.38157778708426E-2"/>
    <n v="2661.0083197449931"/>
  </r>
  <r>
    <n v="1159"/>
    <x v="1"/>
    <n v="1150"/>
    <x v="1"/>
    <s v="Opex"/>
    <x v="8"/>
    <x v="2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29"/>
    <n v="9380.2799999999988"/>
    <n v="9596.08"/>
    <n v="2.3005709850878686E-2"/>
    <n v="-215.80000000000109"/>
    <n v="9380.2799999999988"/>
    <n v="9596.08"/>
    <n v="2.3005709850878686E-2"/>
    <n v="-215.80000000000109"/>
    <n v="9380.2799999999988"/>
    <n v="7422.56"/>
    <n v="-0.20870592349055661"/>
    <n v="1957.7199999999984"/>
    <n v="9380.2799999999988"/>
    <n v="14491.66"/>
    <n v="0.54490697505831398"/>
    <n v="-5111.380000000001"/>
    <n v="10035.439999999999"/>
    <n v="14491.66"/>
    <n v="0.44404829285013925"/>
    <n v="-4456.2200000000012"/>
    <n v="47556.56"/>
    <n v="55598.040000000008"/>
    <n v="0.16909297055968753"/>
    <n v="-8041.4800000000105"/>
  </r>
  <r>
    <n v="1159"/>
    <x v="1"/>
    <n v="1150"/>
    <x v="1"/>
    <s v="Opex"/>
    <x v="8"/>
    <x v="30"/>
    <n v="375.18000000000006"/>
    <n v="461.76"/>
    <n v="0.23076923076923062"/>
    <n v="-86.579999999999927"/>
    <n v="375.18000000000006"/>
    <n v="461.76"/>
    <n v="0.23076923076923062"/>
    <n v="-86.579999999999927"/>
    <n v="375.18000000000006"/>
    <n v="317.45999999999998"/>
    <n v="-0.15384615384615408"/>
    <n v="57.720000000000084"/>
    <n v="375.18000000000006"/>
    <n v="317.45999999999998"/>
    <n v="-0.15384615384615408"/>
    <n v="57.720000000000084"/>
    <n v="406.9260000000001"/>
    <n v="317.45999999999998"/>
    <n v="-0.219858156028369"/>
    <n v="89.466000000000122"/>
    <n v="1907.6460000000004"/>
    <n v="1875.9"/>
    <n v="-1.6641452344932084E-2"/>
    <n v="31.746000000000322"/>
  </r>
  <r>
    <n v="1159"/>
    <x v="1"/>
    <n v="1150"/>
    <x v="1"/>
    <s v="Opex"/>
    <x v="8"/>
    <x v="3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32"/>
    <n v="0"/>
    <n v="0"/>
    <n v="-1"/>
    <n v="0"/>
    <n v="0"/>
    <n v="0"/>
    <n v="-1"/>
    <n v="0"/>
    <n v="0"/>
    <n v="0"/>
    <n v="-1"/>
    <n v="0"/>
    <n v="15121.663411111111"/>
    <n v="14847.25"/>
    <n v="-1.8147038698763551E-2"/>
    <n v="274.41341111111069"/>
    <n v="16171.663411111111"/>
    <n v="14907.25"/>
    <n v="-7.818697303843003E-2"/>
    <n v="1264.4134111111107"/>
    <n v="31293.326822222221"/>
    <n v="29754.5"/>
    <n v="-4.9174280221604971E-2"/>
    <n v="1538.8268222222214"/>
  </r>
  <r>
    <n v="1159"/>
    <x v="1"/>
    <n v="1150"/>
    <x v="1"/>
    <s v="Opex"/>
    <x v="8"/>
    <x v="33"/>
    <n v="5945.1736000000001"/>
    <n v="6240.41"/>
    <n v="4.9659845088459553E-2"/>
    <n v="-295.23639999999978"/>
    <n v="5945.1736000000001"/>
    <n v="5226.0600000000004"/>
    <n v="-0.1209575444525286"/>
    <n v="719.11359999999968"/>
    <n v="5945.1736000000001"/>
    <n v="5300.68"/>
    <n v="-0.10840618682690772"/>
    <n v="644.49359999999979"/>
    <n v="5945.1736000000001"/>
    <n v="5807.62"/>
    <n v="-2.3137019918139989E-2"/>
    <n v="137.55360000000019"/>
    <n v="6709.8682119999994"/>
    <n v="27987.75"/>
    <n v="3.1711325939228452"/>
    <n v="-21277.881787999999"/>
    <n v="30490.562612000002"/>
    <n v="50562.520000000004"/>
    <n v="0.65830065661367598"/>
    <n v="-20071.957388000003"/>
  </r>
  <r>
    <n v="1159"/>
    <x v="1"/>
    <n v="1150"/>
    <x v="1"/>
    <s v="Opex"/>
    <x v="8"/>
    <x v="34"/>
    <n v="165.27582608"/>
    <n v="0"/>
    <n v="-1"/>
    <n v="165.27582608"/>
    <n v="165.27582608"/>
    <n v="0"/>
    <n v="-1"/>
    <n v="165.27582608"/>
    <n v="165.27582608"/>
    <n v="0"/>
    <n v="-1"/>
    <n v="165.27582608"/>
    <n v="165.27582608"/>
    <n v="0"/>
    <n v="-1"/>
    <n v="165.27582608"/>
    <n v="186.53433629359998"/>
    <n v="0"/>
    <n v="-1"/>
    <n v="186.53433629359998"/>
    <n v="847.63764061359996"/>
    <n v="0"/>
    <n v="-1"/>
    <n v="847.63764061359996"/>
  </r>
  <r>
    <n v="1159"/>
    <x v="1"/>
    <n v="1150"/>
    <x v="1"/>
    <s v="Opex"/>
    <x v="8"/>
    <x v="35"/>
    <n v="495.23296088000006"/>
    <n v="3748.52"/>
    <n v="6.5692053964645218"/>
    <n v="-3253.2870391199999"/>
    <n v="495.23296088000006"/>
    <n v="425.24"/>
    <n v="-0.14133340550602014"/>
    <n v="69.992960880000055"/>
    <n v="495.23296088000006"/>
    <n v="442.1"/>
    <n v="-0.10728882178113885"/>
    <n v="53.132960880000041"/>
    <n v="495.23296088000006"/>
    <n v="538.38"/>
    <n v="8.7124732253948123E-2"/>
    <n v="-43.147039119999931"/>
    <n v="558.93202205960006"/>
    <n v="442.66"/>
    <n v="-0.20802533666106848"/>
    <n v="116.27202205960003"/>
    <n v="2539.8638655796003"/>
    <n v="5596.9000000000005"/>
    <n v="1.2036220428384183"/>
    <n v="-3057.0361344204002"/>
  </r>
  <r>
    <n v="1159"/>
    <x v="1"/>
    <n v="1150"/>
    <x v="1"/>
    <s v="Opex"/>
    <x v="8"/>
    <x v="36"/>
    <n v="6539.6909600000008"/>
    <n v="14730.9"/>
    <n v="1.252537633674359"/>
    <n v="-8191.2090399999988"/>
    <n v="6539.6909600000008"/>
    <n v="5799.46"/>
    <n v="-0.1131905107638298"/>
    <n v="740.23096000000078"/>
    <n v="6539.6909600000008"/>
    <n v="12292.13"/>
    <n v="0.87961940024150587"/>
    <n v="-5752.4390399999984"/>
    <n v="6539.6909600000008"/>
    <n v="13467.66"/>
    <n v="1.0593725425826541"/>
    <n v="-6927.969039999999"/>
    <n v="7380.8550332000013"/>
    <n v="13132.51"/>
    <n v="0.77926675716137783"/>
    <n v="-5751.6549667999989"/>
    <n v="33539.618873200001"/>
    <n v="59422.659999999996"/>
    <n v="0.77171542183152142"/>
    <n v="-25883.041126799995"/>
  </r>
  <r>
    <n v="1159"/>
    <x v="1"/>
    <n v="1150"/>
    <x v="1"/>
    <s v="Opex"/>
    <x v="8"/>
    <x v="37"/>
    <n v="181.80340868800002"/>
    <n v="0"/>
    <n v="-1"/>
    <n v="181.80340868800002"/>
    <n v="181.80340868800002"/>
    <n v="0"/>
    <n v="-1"/>
    <n v="181.80340868800002"/>
    <n v="181.80340868800002"/>
    <n v="0"/>
    <n v="-1"/>
    <n v="181.80340868800002"/>
    <n v="181.80340868800002"/>
    <n v="0"/>
    <n v="-1"/>
    <n v="181.80340868800002"/>
    <n v="205.18776992296003"/>
    <n v="0"/>
    <n v="-1"/>
    <n v="205.18776992296003"/>
    <n v="932.40140467496008"/>
    <n v="0"/>
    <n v="-1"/>
    <n v="932.40140467496008"/>
  </r>
  <r>
    <n v="1159"/>
    <x v="1"/>
    <n v="1150"/>
    <x v="1"/>
    <s v="Opex"/>
    <x v="8"/>
    <x v="38"/>
    <n v="206.5947826"/>
    <n v="0"/>
    <n v="-1"/>
    <n v="206.5947826"/>
    <n v="206.5947826"/>
    <n v="0"/>
    <n v="-1"/>
    <n v="206.5947826"/>
    <n v="206.5947826"/>
    <n v="0"/>
    <n v="-1"/>
    <n v="206.5947826"/>
    <n v="206.5947826"/>
    <n v="0"/>
    <n v="-1"/>
    <n v="206.5947826"/>
    <n v="233.16792036700002"/>
    <n v="0"/>
    <n v="-1"/>
    <n v="233.16792036700002"/>
    <n v="1059.547050767"/>
    <n v="0"/>
    <n v="-1"/>
    <n v="1059.547050767"/>
  </r>
  <r>
    <n v="1159"/>
    <x v="1"/>
    <n v="1150"/>
    <x v="1"/>
    <s v="Opex"/>
    <x v="8"/>
    <x v="39"/>
    <n v="544.756256968"/>
    <n v="511.58"/>
    <n v="-6.0901103096368536E-2"/>
    <n v="33.176256968000018"/>
    <n v="544.756256968"/>
    <n v="454.59"/>
    <n v="-0.16551669818323278"/>
    <n v="90.166256968000027"/>
    <n v="544.756256968"/>
    <n v="472.58"/>
    <n v="-0.13249275441041841"/>
    <n v="72.176256968000018"/>
    <n v="544.756256968"/>
    <n v="575.54"/>
    <n v="5.6509205058673073E-2"/>
    <n v="-30.783743031999961"/>
    <n v="614.82522426556"/>
    <n v="1026.45"/>
    <n v="0.66949884209150134"/>
    <n v="-411.62477573444005"/>
    <n v="2793.8502521375599"/>
    <n v="3040.74"/>
    <n v="8.8368998185763825E-2"/>
    <n v="-246.88974786243989"/>
  </r>
  <r>
    <n v="1159"/>
    <x v="1"/>
    <n v="1150"/>
    <x v="1"/>
    <s v="Opex"/>
    <x v="8"/>
    <x v="40"/>
    <n v="619.04120110000008"/>
    <n v="0"/>
    <n v="-1"/>
    <n v="619.04120110000008"/>
    <n v="619.04120110000008"/>
    <n v="0"/>
    <n v="-1"/>
    <n v="619.04120110000008"/>
    <n v="619.04120110000008"/>
    <n v="0"/>
    <n v="-1"/>
    <n v="619.04120110000008"/>
    <n v="619.04120110000008"/>
    <n v="0"/>
    <n v="-1"/>
    <n v="619.04120110000008"/>
    <n v="698.66502757450007"/>
    <n v="0"/>
    <n v="-1"/>
    <n v="698.66502757450007"/>
    <n v="3174.8298319745004"/>
    <n v="0"/>
    <n v="-1"/>
    <n v="3174.8298319745004"/>
  </r>
  <r>
    <n v="1159"/>
    <x v="1"/>
    <n v="1150"/>
    <x v="1"/>
    <s v="Opex"/>
    <x v="8"/>
    <x v="41"/>
    <n v="7431.4670000000006"/>
    <n v="0"/>
    <n v="-1"/>
    <n v="7431.4670000000006"/>
    <n v="7431.4670000000006"/>
    <n v="6599.32"/>
    <n v="-0.11197614145363233"/>
    <n v="832.14700000000084"/>
    <n v="7431.4670000000006"/>
    <n v="0"/>
    <n v="-1"/>
    <n v="7431.4670000000006"/>
    <n v="7431.4670000000006"/>
    <n v="0"/>
    <n v="-1"/>
    <n v="7431.4670000000006"/>
    <n v="8387.3352649999997"/>
    <n v="0"/>
    <n v="-1"/>
    <n v="8387.3352649999997"/>
    <n v="38113.203265000004"/>
    <n v="6599.32"/>
    <n v="-0.82684950529833146"/>
    <n v="31513.883265000004"/>
  </r>
  <r>
    <n v="1159"/>
    <x v="1"/>
    <n v="1150"/>
    <x v="1"/>
    <s v="Opex"/>
    <x v="8"/>
    <x v="42"/>
    <n v="72484.428199999995"/>
    <n v="51203.89"/>
    <n v="-0.29358772261102006"/>
    <n v="21280.538199999995"/>
    <n v="72484.428199999995"/>
    <n v="61787.79"/>
    <n v="-0.14757153316413962"/>
    <n v="10696.638199999994"/>
    <n v="72484.428199999995"/>
    <n v="65390.239999999998"/>
    <n v="-9.7871892986802878E-2"/>
    <n v="7094.1881999999969"/>
    <n v="72484.428199999995"/>
    <n v="69442.539999999994"/>
    <n v="-4.196609224269221E-2"/>
    <n v="3041.8882000000012"/>
    <n v="81770.448869"/>
    <n v="83935.23"/>
    <n v="2.6473880979521969E-2"/>
    <n v="-2164.7811309999961"/>
    <n v="371708.16166899999"/>
    <n v="331759.68999999994"/>
    <n v="-0.10747267826896278"/>
    <n v="39948.47166900005"/>
  </r>
  <r>
    <n v="1159"/>
    <x v="1"/>
    <n v="1150"/>
    <x v="1"/>
    <s v="Opex"/>
    <x v="8"/>
    <x v="43"/>
    <n v="210.24000000000004"/>
    <n v="192.72"/>
    <n v="-8.3333333333333481E-2"/>
    <n v="17.520000000000039"/>
    <n v="210.24000000000004"/>
    <n v="192.72"/>
    <n v="-8.3333333333333481E-2"/>
    <n v="17.520000000000039"/>
    <n v="210.24000000000004"/>
    <n v="192.72"/>
    <n v="-8.3333333333333481E-2"/>
    <n v="17.520000000000039"/>
    <n v="210.24000000000004"/>
    <n v="192.72"/>
    <n v="-8.3333333333333481E-2"/>
    <n v="17.520000000000039"/>
    <n v="250.53599999999997"/>
    <n v="192.72"/>
    <n v="-0.23076923076923073"/>
    <n v="57.815999999999974"/>
    <n v="1091.4960000000001"/>
    <n v="963.6"/>
    <n v="-0.1171749598715891"/>
    <n v="127.89600000000007"/>
  </r>
  <r>
    <n v="1159"/>
    <x v="1"/>
    <n v="1150"/>
    <x v="1"/>
    <s v="Opex"/>
    <x v="8"/>
    <x v="44"/>
    <n v="9975"/>
    <n v="17030"/>
    <n v="0.70726817042606527"/>
    <n v="-7055"/>
    <n v="9975"/>
    <n v="7900"/>
    <n v="-0.20802005012531333"/>
    <n v="2075"/>
    <n v="9975"/>
    <n v="9180"/>
    <n v="-7.9699248120300714E-2"/>
    <n v="795"/>
    <n v="9975"/>
    <n v="8740"/>
    <n v="-0.12380952380952381"/>
    <n v="1235"/>
    <n v="11302.199999999999"/>
    <n v="9135"/>
    <n v="-0.19175027870680039"/>
    <n v="2167.1999999999989"/>
    <n v="51202.2"/>
    <n v="51985"/>
    <n v="1.5288405576322939E-2"/>
    <n v="-782.80000000000291"/>
  </r>
  <r>
    <n v="1159"/>
    <x v="1"/>
    <n v="1150"/>
    <x v="1"/>
    <s v="Opex"/>
    <x v="8"/>
    <x v="45"/>
    <n v="753.48"/>
    <n v="904.67"/>
    <n v="0.20065562456866792"/>
    <n v="-151.18999999999994"/>
    <n v="753.48"/>
    <n v="354.21"/>
    <n v="-0.52990125816212774"/>
    <n v="399.27000000000004"/>
    <n v="753.48"/>
    <n v="607.24"/>
    <n v="-0.19408610712958541"/>
    <n v="146.24"/>
    <n v="753.48"/>
    <n v="580.02"/>
    <n v="-0.23021181716833894"/>
    <n v="173.46000000000004"/>
    <n v="1010.52"/>
    <n v="993.28"/>
    <n v="-1.7060523294937235E-2"/>
    <n v="17.240000000000009"/>
    <n v="4024.44"/>
    <n v="3439.42"/>
    <n v="-0.14536680879824271"/>
    <n v="585.02"/>
  </r>
  <r>
    <n v="1159"/>
    <x v="1"/>
    <n v="1159"/>
    <x v="2"/>
    <s v="Opex"/>
    <x v="8"/>
    <x v="26"/>
    <n v="1658.8415679999998"/>
    <n v="0"/>
    <n v="-1"/>
    <n v="1658.8415679999998"/>
    <n v="1658.8415679999998"/>
    <n v="0"/>
    <n v="-1"/>
    <n v="1658.8415679999998"/>
    <n v="1658.8415679999998"/>
    <n v="0"/>
    <n v="-1"/>
    <n v="1658.8415679999998"/>
    <n v="1658.8415679999998"/>
    <n v="0"/>
    <n v="-1"/>
    <n v="1658.8415679999998"/>
    <n v="1689.9464319999997"/>
    <n v="0"/>
    <n v="-1"/>
    <n v="1689.9464319999997"/>
    <n v="8325.3127039999999"/>
    <n v="0"/>
    <n v="-1"/>
    <n v="8325.3127039999999"/>
  </r>
  <r>
    <n v="1159"/>
    <x v="1"/>
    <n v="1159"/>
    <x v="2"/>
    <s v="Opex"/>
    <x v="8"/>
    <x v="27"/>
    <n v="4970.557648"/>
    <n v="4972.55"/>
    <n v="4.00830679592179E-4"/>
    <n v="-1.99235200000021"/>
    <n v="4970.557648"/>
    <n v="4972.54"/>
    <n v="3.988188328925002E-4"/>
    <n v="-1.9823519999999917"/>
    <n v="4970.557648"/>
    <n v="30575.43"/>
    <n v="5.1513077938654659"/>
    <n v="-25604.872351999999"/>
    <n v="4970.557648"/>
    <n v="6739.53"/>
    <n v="0.35589011883038513"/>
    <n v="-1768.9723519999998"/>
    <n v="5063.7603519999993"/>
    <n v="5414.28"/>
    <n v="6.922121578315954E-2"/>
    <n v="-350.51964800000042"/>
    <n v="24945.990943999997"/>
    <n v="52674.33"/>
    <n v="1.1115348802236786"/>
    <n v="-27728.339056000004"/>
  </r>
  <r>
    <n v="1159"/>
    <x v="1"/>
    <n v="1159"/>
    <x v="2"/>
    <s v="Opex"/>
    <x v="8"/>
    <x v="2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29"/>
    <n v="2612.88"/>
    <n v="4028.94"/>
    <n v="0.5419537062551667"/>
    <n v="-1416.06"/>
    <n v="2612.88"/>
    <n v="4028.94"/>
    <n v="0.5419537062551667"/>
    <n v="-1416.06"/>
    <n v="2612.88"/>
    <n v="8595.2199999999993"/>
    <n v="2.2895578824898193"/>
    <n v="-5982.3399999999992"/>
    <n v="2612.88"/>
    <n v="3923.2"/>
    <n v="0.50148495147117345"/>
    <n v="-1310.3199999999997"/>
    <n v="2612.88"/>
    <n v="3923.2"/>
    <n v="0.50148495147117345"/>
    <n v="-1310.3199999999997"/>
    <n v="13064.400000000001"/>
    <n v="24499.5"/>
    <n v="0.87528703958849974"/>
    <n v="-11435.099999999999"/>
  </r>
  <r>
    <n v="1159"/>
    <x v="1"/>
    <n v="1159"/>
    <x v="2"/>
    <s v="Opex"/>
    <x v="8"/>
    <x v="30"/>
    <n v="86.58"/>
    <n v="173.16"/>
    <n v="1"/>
    <n v="-86.58"/>
    <n v="86.58"/>
    <n v="173.16"/>
    <n v="1"/>
    <n v="-86.58"/>
    <n v="86.58"/>
    <n v="86.58"/>
    <n v="0"/>
    <n v="0"/>
    <n v="86.58"/>
    <n v="86.58"/>
    <n v="0"/>
    <n v="0"/>
    <n v="86.58"/>
    <n v="86.58"/>
    <n v="0"/>
    <n v="0"/>
    <n v="432.9"/>
    <n v="606.06000000000006"/>
    <n v="0.40000000000000013"/>
    <n v="-173.16000000000008"/>
  </r>
  <r>
    <n v="1159"/>
    <x v="1"/>
    <n v="1159"/>
    <x v="2"/>
    <s v="Opex"/>
    <x v="8"/>
    <x v="3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32"/>
    <n v="0"/>
    <n v="0"/>
    <n v="-1"/>
    <n v="0"/>
    <n v="0"/>
    <n v="0"/>
    <n v="-1"/>
    <n v="0"/>
    <n v="0"/>
    <n v="0"/>
    <n v="-1"/>
    <n v="0"/>
    <n v="36495.199999999997"/>
    <n v="38703.93"/>
    <n v="6.0521109625375491E-2"/>
    <n v="-2208.7300000000032"/>
    <n v="36495.199999999997"/>
    <n v="38703.93"/>
    <n v="6.0521109625375491E-2"/>
    <n v="-2208.7300000000032"/>
    <n v="72990.399999999994"/>
    <n v="77407.86"/>
    <n v="6.0521109625375491E-2"/>
    <n v="-4417.4600000000064"/>
  </r>
  <r>
    <n v="1159"/>
    <x v="1"/>
    <n v="1159"/>
    <x v="2"/>
    <s v="Opex"/>
    <x v="8"/>
    <x v="33"/>
    <n v="4773.6448"/>
    <n v="4773.63"/>
    <n v="-3.100356356644518E-6"/>
    <n v="1.4799999999922875E-2"/>
    <n v="4773.6448"/>
    <n v="4985.3900000000003"/>
    <n v="4.4357133568044382E-2"/>
    <n v="-211.7452000000003"/>
    <n v="4773.6448"/>
    <n v="5238.08"/>
    <n v="9.7291528686843209E-2"/>
    <n v="-464.4351999999999"/>
    <n v="4773.6448"/>
    <n v="5409.47"/>
    <n v="0.13319491219790813"/>
    <n v="-635.82520000000022"/>
    <n v="4863.1552000000001"/>
    <n v="5605.95"/>
    <n v="0.15273927511094021"/>
    <n v="-742.79479999999967"/>
    <n v="23957.734400000001"/>
    <n v="26012.52"/>
    <n v="8.5767108262123415E-2"/>
    <n v="-2054.7855999999992"/>
  </r>
  <r>
    <n v="1159"/>
    <x v="1"/>
    <n v="1159"/>
    <x v="2"/>
    <s v="Opex"/>
    <x v="8"/>
    <x v="34"/>
    <n v="132.70732544000001"/>
    <n v="0"/>
    <n v="-1"/>
    <n v="132.70732544000001"/>
    <n v="132.70732544000001"/>
    <n v="0"/>
    <n v="-1"/>
    <n v="132.70732544000001"/>
    <n v="132.70732544000001"/>
    <n v="0"/>
    <n v="-1"/>
    <n v="132.70732544000001"/>
    <n v="132.70732544000001"/>
    <n v="0"/>
    <n v="-1"/>
    <n v="132.70732544000001"/>
    <n v="135.19571456"/>
    <n v="0"/>
    <n v="-1"/>
    <n v="135.19571456"/>
    <n v="666.02501632000008"/>
    <n v="0"/>
    <n v="-1"/>
    <n v="666.02501632000008"/>
  </r>
  <r>
    <n v="1159"/>
    <x v="1"/>
    <n v="1159"/>
    <x v="2"/>
    <s v="Opex"/>
    <x v="8"/>
    <x v="35"/>
    <n v="397.64461183999998"/>
    <n v="416.56"/>
    <n v="4.7568576555014452E-2"/>
    <n v="-18.91538816000002"/>
    <n v="397.64461183999998"/>
    <n v="397.81"/>
    <n v="4.159195298403251E-4"/>
    <n v="-0.16538816000002043"/>
    <n v="397.64461183999998"/>
    <n v="397.8"/>
    <n v="3.9077144609356296E-4"/>
    <n v="-0.15538816000002953"/>
    <n v="397.64461183999998"/>
    <n v="539.16"/>
    <n v="0.35588408329028587"/>
    <n v="-141.51538815999999"/>
    <n v="405.10082815999999"/>
    <n v="433.15"/>
    <n v="6.9239976544608783E-2"/>
    <n v="-28.049171839999985"/>
    <n v="1995.6792755199999"/>
    <n v="2184.48"/>
    <n v="9.4604742753970683E-2"/>
    <n v="-188.8007244800001"/>
  </r>
  <r>
    <n v="1159"/>
    <x v="1"/>
    <n v="1159"/>
    <x v="2"/>
    <s v="Opex"/>
    <x v="8"/>
    <x v="36"/>
    <n v="5251.0092800000011"/>
    <n v="11308.52"/>
    <n v="1.153589795217425"/>
    <n v="-6057.5107199999993"/>
    <n v="5251.0092800000011"/>
    <n v="5448.47"/>
    <n v="3.7604336513379577E-2"/>
    <n v="-197.46071999999913"/>
    <n v="5251.0092800000011"/>
    <n v="12146.89"/>
    <n v="1.3132486256051705"/>
    <n v="-6895.8807199999983"/>
    <n v="5251.0092800000011"/>
    <n v="12544.3"/>
    <n v="1.388931218952254"/>
    <n v="-7293.2907199999981"/>
    <n v="5349.4707200000003"/>
    <n v="10958.71"/>
    <n v="1.048559675077537"/>
    <n v="-5609.2392799999989"/>
    <n v="26353.507840000006"/>
    <n v="52406.89"/>
    <n v="0.98861154720570155"/>
    <n v="-26053.382159999994"/>
  </r>
  <r>
    <n v="1159"/>
    <x v="1"/>
    <n v="1159"/>
    <x v="2"/>
    <s v="Opex"/>
    <x v="8"/>
    <x v="37"/>
    <n v="145.97805798400003"/>
    <n v="0"/>
    <n v="-1"/>
    <n v="145.97805798400003"/>
    <n v="145.97805798400003"/>
    <n v="0"/>
    <n v="-1"/>
    <n v="145.97805798400003"/>
    <n v="145.97805798400003"/>
    <n v="0"/>
    <n v="-1"/>
    <n v="145.97805798400003"/>
    <n v="145.97805798400003"/>
    <n v="0"/>
    <n v="-1"/>
    <n v="145.97805798400003"/>
    <n v="148.71528601599999"/>
    <n v="0"/>
    <n v="-1"/>
    <n v="148.71528601599999"/>
    <n v="732.62751795200006"/>
    <n v="0"/>
    <n v="-1"/>
    <n v="732.62751795200006"/>
  </r>
  <r>
    <n v="1159"/>
    <x v="1"/>
    <n v="1159"/>
    <x v="2"/>
    <s v="Opex"/>
    <x v="8"/>
    <x v="38"/>
    <n v="165.8841568"/>
    <n v="0"/>
    <n v="-1"/>
    <n v="165.8841568"/>
    <n v="165.8841568"/>
    <n v="0"/>
    <n v="-1"/>
    <n v="165.8841568"/>
    <n v="165.8841568"/>
    <n v="0"/>
    <n v="-1"/>
    <n v="165.8841568"/>
    <n v="165.8841568"/>
    <n v="0"/>
    <n v="-1"/>
    <n v="165.8841568"/>
    <n v="168.99464319999998"/>
    <n v="0"/>
    <n v="-1"/>
    <n v="168.99464319999998"/>
    <n v="832.53127040000004"/>
    <n v="0"/>
    <n v="-1"/>
    <n v="832.53127040000004"/>
  </r>
  <r>
    <n v="1159"/>
    <x v="1"/>
    <n v="1159"/>
    <x v="2"/>
    <s v="Opex"/>
    <x v="8"/>
    <x v="39"/>
    <n v="437.40907302400007"/>
    <n v="425.23"/>
    <n v="-2.7843668033223024E-2"/>
    <n v="12.179073024000047"/>
    <n v="437.40907302400007"/>
    <n v="425.24"/>
    <n v="-2.7820806138907805E-2"/>
    <n v="12.169073024000056"/>
    <n v="437.40907302400007"/>
    <n v="425.23"/>
    <n v="-2.7843668033223024E-2"/>
    <n v="12.179073024000047"/>
    <n v="437.40907302400007"/>
    <n v="576.33000000000004"/>
    <n v="0.31759955506999171"/>
    <n v="-138.92092697599998"/>
    <n v="445.61091097600001"/>
    <n v="1004.44"/>
    <n v="1.2540740705832891"/>
    <n v="-558.82908902400004"/>
    <n v="2195.247203072"/>
    <n v="2856.4700000000003"/>
    <n v="0.30120653200363656"/>
    <n v="-661.22279692800021"/>
  </r>
  <r>
    <n v="1159"/>
    <x v="1"/>
    <n v="1159"/>
    <x v="2"/>
    <s v="Opex"/>
    <x v="8"/>
    <x v="40"/>
    <n v="497.05576480000002"/>
    <n v="0"/>
    <n v="-1"/>
    <n v="497.05576480000002"/>
    <n v="497.05576480000002"/>
    <n v="0"/>
    <n v="-1"/>
    <n v="497.05576480000002"/>
    <n v="497.05576480000002"/>
    <n v="0"/>
    <n v="-1"/>
    <n v="497.05576480000002"/>
    <n v="497.05576480000002"/>
    <n v="0"/>
    <n v="-1"/>
    <n v="497.05576480000002"/>
    <n v="506.37603520000005"/>
    <n v="0"/>
    <n v="-1"/>
    <n v="506.37603520000005"/>
    <n v="2494.5990944"/>
    <n v="0"/>
    <n v="-1"/>
    <n v="2494.5990944"/>
  </r>
  <r>
    <n v="1159"/>
    <x v="1"/>
    <n v="1159"/>
    <x v="2"/>
    <s v="Opex"/>
    <x v="8"/>
    <x v="41"/>
    <n v="5967.0560000000005"/>
    <n v="0"/>
    <n v="-1"/>
    <n v="5967.0560000000005"/>
    <n v="5967.0560000000005"/>
    <n v="6231.75"/>
    <n v="4.4359228403420214E-2"/>
    <n v="-264.69399999999951"/>
    <n v="5967.0560000000005"/>
    <n v="0"/>
    <n v="-1"/>
    <n v="5967.0560000000005"/>
    <n v="5967.0560000000005"/>
    <n v="0"/>
    <n v="-1"/>
    <n v="5967.0560000000005"/>
    <n v="6078.9440000000004"/>
    <n v="0"/>
    <n v="-1"/>
    <n v="6078.9440000000004"/>
    <n v="29947.168000000001"/>
    <n v="6231.75"/>
    <n v="-0.79190853706100017"/>
    <n v="23715.418000000001"/>
  </r>
  <r>
    <n v="1159"/>
    <x v="1"/>
    <n v="1159"/>
    <x v="2"/>
    <s v="Opex"/>
    <x v="8"/>
    <x v="42"/>
    <n v="59023.16"/>
    <n v="58976.86"/>
    <n v="-7.8443783762172092E-4"/>
    <n v="46.30000000000291"/>
    <n v="59023.16"/>
    <n v="51035.99"/>
    <n v="-0.1353226428405393"/>
    <n v="7987.1700000000055"/>
    <n v="59023.16"/>
    <n v="42427.23"/>
    <n v="-0.28117657543242347"/>
    <n v="16595.93"/>
    <n v="59023.16"/>
    <n v="56467.88"/>
    <n v="-4.3292836235809928E-2"/>
    <n v="2555.2800000000061"/>
    <n v="60142.04"/>
    <n v="49101.33"/>
    <n v="-0.18357724480247095"/>
    <n v="11040.71"/>
    <n v="296234.68"/>
    <n v="258009.29000000004"/>
    <n v="-0.12903752524856293"/>
    <n v="38225.389999999956"/>
  </r>
  <r>
    <n v="1159"/>
    <x v="1"/>
    <n v="1159"/>
    <x v="2"/>
    <s v="Opex"/>
    <x v="8"/>
    <x v="43"/>
    <n v="52.56"/>
    <n v="52.56"/>
    <n v="0"/>
    <n v="0"/>
    <n v="52.56"/>
    <n v="52.56"/>
    <n v="0"/>
    <n v="0"/>
    <n v="52.56"/>
    <n v="0"/>
    <n v="-1"/>
    <n v="52.56"/>
    <n v="52.56"/>
    <n v="0"/>
    <n v="-1"/>
    <n v="52.56"/>
    <n v="57.816000000000003"/>
    <n v="0"/>
    <n v="-1"/>
    <n v="57.816000000000003"/>
    <n v="268.05600000000004"/>
    <n v="105.12"/>
    <n v="-0.60784313725490202"/>
    <n v="162.93600000000004"/>
  </r>
  <r>
    <n v="1159"/>
    <x v="1"/>
    <n v="1159"/>
    <x v="2"/>
    <s v="Opex"/>
    <x v="8"/>
    <x v="44"/>
    <n v="2520"/>
    <n v="6090.4"/>
    <n v="1.4168253968253968"/>
    <n v="-3570.3999999999996"/>
    <n v="2520"/>
    <n v="2200"/>
    <n v="-0.12698412698412698"/>
    <n v="320"/>
    <n v="2520"/>
    <n v="1850"/>
    <n v="-0.26587301587301593"/>
    <n v="670"/>
    <n v="2520"/>
    <n v="1850"/>
    <n v="-0.26587301587301593"/>
    <n v="670"/>
    <n v="2633.3999999999996"/>
    <n v="1970"/>
    <n v="-0.25191767297030443"/>
    <n v="663.39999999999964"/>
    <n v="12713.4"/>
    <n v="13960.4"/>
    <n v="9.8085484606792894E-2"/>
    <n v="-1247"/>
  </r>
  <r>
    <n v="1159"/>
    <x v="1"/>
    <n v="1159"/>
    <x v="2"/>
    <s v="Opex"/>
    <x v="8"/>
    <x v="45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26"/>
    <n v="1683.2049320000001"/>
    <n v="0"/>
    <n v="-1"/>
    <n v="1683.2049320000001"/>
    <n v="1858.344932"/>
    <n v="0"/>
    <n v="-1"/>
    <n v="1858.344932"/>
    <n v="1922.2849319999996"/>
    <n v="0"/>
    <n v="-1"/>
    <n v="1922.2849319999996"/>
    <n v="1922.2849319999996"/>
    <n v="0"/>
    <n v="-1"/>
    <n v="1922.2849319999996"/>
    <n v="2001.3657210599997"/>
    <n v="0"/>
    <n v="-1"/>
    <n v="2001.3657210599997"/>
    <n v="9387.4854490599992"/>
    <n v="0"/>
    <n v="-1"/>
    <n v="9387.4854490599992"/>
  </r>
  <r>
    <n v="1159"/>
    <x v="1"/>
    <n v="1160"/>
    <x v="3"/>
    <s v="Opex"/>
    <x v="8"/>
    <x v="27"/>
    <n v="5043.5601019999995"/>
    <n v="5045.59"/>
    <n v="4.0247324488018599E-4"/>
    <n v="-2.029898000000685"/>
    <n v="5568.3501019999994"/>
    <n v="5045.5600000000004"/>
    <n v="-9.3885997184736447E-2"/>
    <n v="522.79010199999902"/>
    <n v="5759.9401019999996"/>
    <n v="5045.59"/>
    <n v="-0.12402040461357555"/>
    <n v="714.35010199999942"/>
    <n v="5759.9401019999996"/>
    <n v="8366.92"/>
    <n v="0.45260538336063427"/>
    <n v="-2606.9798980000005"/>
    <n v="5996.8980059099995"/>
    <n v="5045.5600000000004"/>
    <n v="-0.1586383501891222"/>
    <n v="951.33800590999908"/>
    <n v="28128.68841391"/>
    <n v="28549.220000000005"/>
    <n v="1.4950273539310999E-2"/>
    <n v="-420.53158609000457"/>
  </r>
  <r>
    <n v="1159"/>
    <x v="1"/>
    <n v="1160"/>
    <x v="3"/>
    <s v="Opex"/>
    <x v="8"/>
    <x v="2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29"/>
    <n v="6983.2"/>
    <n v="6328.04"/>
    <n v="-9.3819452400045855E-2"/>
    <n v="655.15999999999985"/>
    <n v="7638.36"/>
    <n v="6328.04"/>
    <n v="-0.17154467712964561"/>
    <n v="1310.3199999999997"/>
    <n v="8293.52"/>
    <n v="7854.16"/>
    <n v="-5.2976299568820107E-2"/>
    <n v="439.36000000000058"/>
    <n v="8293.52"/>
    <n v="5896.44"/>
    <n v="-0.28903047198294585"/>
    <n v="2397.0800000000008"/>
    <n v="8293.52"/>
    <n v="5896.44"/>
    <n v="-0.28903047198294585"/>
    <n v="2397.0800000000008"/>
    <n v="39502.120000000003"/>
    <n v="32303.119999999995"/>
    <n v="-0.18224338339309398"/>
    <n v="7199.0000000000073"/>
  </r>
  <r>
    <n v="1159"/>
    <x v="1"/>
    <n v="1160"/>
    <x v="3"/>
    <s v="Opex"/>
    <x v="8"/>
    <x v="30"/>
    <n v="288.60000000000008"/>
    <n v="259.74"/>
    <n v="-0.1000000000000002"/>
    <n v="28.86000000000007"/>
    <n v="317.46000000000009"/>
    <n v="259.74"/>
    <n v="-0.18181818181818199"/>
    <n v="57.720000000000084"/>
    <n v="346.32000000000011"/>
    <n v="404.04"/>
    <n v="0.1666666666666663"/>
    <n v="-57.719999999999914"/>
    <n v="346.32000000000011"/>
    <n v="404.04"/>
    <n v="0.1666666666666663"/>
    <n v="-57.719999999999914"/>
    <n v="349.20600000000007"/>
    <n v="404.04"/>
    <n v="0.15702479338842967"/>
    <n v="-54.833999999999946"/>
    <n v="1647.9060000000006"/>
    <n v="1731.6"/>
    <n v="5.0788091068300734E-2"/>
    <n v="-83.693999999999278"/>
  </r>
  <r>
    <n v="1159"/>
    <x v="1"/>
    <n v="1160"/>
    <x v="3"/>
    <s v="Opex"/>
    <x v="8"/>
    <x v="3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32"/>
    <n v="0"/>
    <n v="0"/>
    <n v="-1"/>
    <n v="0"/>
    <n v="0"/>
    <n v="0"/>
    <n v="-1"/>
    <n v="0"/>
    <n v="0"/>
    <n v="0"/>
    <n v="-1"/>
    <n v="0"/>
    <n v="15950.890851851849"/>
    <n v="14404.93"/>
    <n v="-9.692003200387822E-2"/>
    <n v="1545.9608518518489"/>
    <n v="15950.890851851849"/>
    <n v="14404.93"/>
    <n v="-9.692003200387822E-2"/>
    <n v="1545.9608518518489"/>
    <n v="31901.781703703698"/>
    <n v="28809.86"/>
    <n v="-9.692003200387822E-2"/>
    <n v="3091.9217037036979"/>
  </r>
  <r>
    <n v="1159"/>
    <x v="1"/>
    <n v="1160"/>
    <x v="3"/>
    <s v="Opex"/>
    <x v="8"/>
    <x v="33"/>
    <n v="4843.7551999999996"/>
    <n v="5005.93"/>
    <n v="3.3481213088556006E-2"/>
    <n v="-162.17480000000069"/>
    <n v="5347.7551999999996"/>
    <n v="4843.7299999999996"/>
    <n v="-9.4249863942912016E-2"/>
    <n v="504.02520000000004"/>
    <n v="5531.7551999999996"/>
    <n v="4968.99"/>
    <n v="-0.10173356912106302"/>
    <n v="562.76519999999982"/>
    <n v="5531.7551999999996"/>
    <n v="4923.3999999999996"/>
    <n v="-0.1099750762651247"/>
    <n v="608.35519999999997"/>
    <n v="5759.3258160000005"/>
    <n v="5185.96"/>
    <n v="-9.9554328808266312E-2"/>
    <n v="573.36581600000045"/>
    <n v="27014.346615999999"/>
    <n v="24928.01"/>
    <n v="-7.7230689516818107E-2"/>
    <n v="2086.3366160000005"/>
  </r>
  <r>
    <n v="1159"/>
    <x v="1"/>
    <n v="1160"/>
    <x v="3"/>
    <s v="Opex"/>
    <x v="8"/>
    <x v="34"/>
    <n v="134.65639456"/>
    <n v="0"/>
    <n v="-1"/>
    <n v="134.65639456"/>
    <n v="148.66759456"/>
    <n v="0"/>
    <n v="-1"/>
    <n v="148.66759456"/>
    <n v="153.78279455999999"/>
    <n v="0"/>
    <n v="-1"/>
    <n v="153.78279455999999"/>
    <n v="153.78279455999999"/>
    <n v="0"/>
    <n v="-1"/>
    <n v="153.78279455999999"/>
    <n v="160.10925768479999"/>
    <n v="0"/>
    <n v="-1"/>
    <n v="160.10925768479999"/>
    <n v="750.99883592479989"/>
    <n v="0"/>
    <n v="-1"/>
    <n v="750.99883592479989"/>
  </r>
  <r>
    <n v="1159"/>
    <x v="1"/>
    <n v="1160"/>
    <x v="3"/>
    <s v="Opex"/>
    <x v="8"/>
    <x v="35"/>
    <n v="403.48480816000006"/>
    <n v="1975.28"/>
    <n v="3.8955498696662492"/>
    <n v="-1571.7951918399999"/>
    <n v="445.46800815999995"/>
    <n v="403.66"/>
    <n v="-9.3851875766988058E-2"/>
    <n v="41.808008159999929"/>
    <n v="460.79520816000002"/>
    <n v="403.63"/>
    <n v="-0.12405773139062415"/>
    <n v="57.16520816000002"/>
    <n v="460.79520816000002"/>
    <n v="403.65"/>
    <n v="-0.12401432816149804"/>
    <n v="57.145208160000038"/>
    <n v="479.75184047279998"/>
    <n v="403.65"/>
    <n v="-0.1586275112520692"/>
    <n v="76.101840472800006"/>
    <n v="2250.2950731127999"/>
    <n v="3589.8700000000003"/>
    <n v="0.59528856588313395"/>
    <n v="-1339.5749268872005"/>
  </r>
  <r>
    <n v="1159"/>
    <x v="1"/>
    <n v="1160"/>
    <x v="3"/>
    <s v="Opex"/>
    <x v="8"/>
    <x v="36"/>
    <n v="5328.1307200000001"/>
    <n v="11844.35"/>
    <n v="1.2229841237829091"/>
    <n v="-6516.2192800000003"/>
    <n v="5882.5307200000007"/>
    <n v="5302.86"/>
    <n v="-9.8541044253144361E-2"/>
    <n v="579.67072000000098"/>
    <n v="6084.9307200000003"/>
    <n v="11522.9"/>
    <n v="0.89367809268993592"/>
    <n v="-5437.9692799999993"/>
    <n v="6084.9307200000003"/>
    <n v="11417.16"/>
    <n v="0.87630073789895158"/>
    <n v="-5332.2292799999996"/>
    <n v="6335.2583976000014"/>
    <n v="10314.879999999999"/>
    <n v="0.62817036853739161"/>
    <n v="-3979.6216023999978"/>
    <n v="29715.781277600003"/>
    <n v="50402.15"/>
    <n v="0.69614083268251647"/>
    <n v="-20686.368722399999"/>
  </r>
  <r>
    <n v="1159"/>
    <x v="1"/>
    <n v="1160"/>
    <x v="3"/>
    <s v="Opex"/>
    <x v="8"/>
    <x v="37"/>
    <n v="148.12203401600001"/>
    <n v="0"/>
    <n v="-1"/>
    <n v="148.12203401600001"/>
    <n v="163.53435401600001"/>
    <n v="0"/>
    <n v="-1"/>
    <n v="163.53435401600001"/>
    <n v="169.16107401600001"/>
    <n v="0"/>
    <n v="-1"/>
    <n v="169.16107401600001"/>
    <n v="169.16107401600001"/>
    <n v="0"/>
    <n v="-1"/>
    <n v="169.16107401600001"/>
    <n v="176.12018345327999"/>
    <n v="0"/>
    <n v="-1"/>
    <n v="176.12018345327999"/>
    <n v="826.09871951728007"/>
    <n v="0"/>
    <n v="-1"/>
    <n v="826.09871951728007"/>
  </r>
  <r>
    <n v="1159"/>
    <x v="1"/>
    <n v="1160"/>
    <x v="3"/>
    <s v="Opex"/>
    <x v="8"/>
    <x v="38"/>
    <n v="168.32049319999999"/>
    <n v="0"/>
    <n v="-1"/>
    <n v="168.32049319999999"/>
    <n v="185.83449319999997"/>
    <n v="0"/>
    <n v="-1"/>
    <n v="185.83449319999997"/>
    <n v="192.22849319999997"/>
    <n v="0"/>
    <n v="-1"/>
    <n v="192.22849319999997"/>
    <n v="192.22849319999997"/>
    <n v="0"/>
    <n v="-1"/>
    <n v="192.22849319999997"/>
    <n v="200.13657210599996"/>
    <n v="0"/>
    <n v="-1"/>
    <n v="200.13657210599996"/>
    <n v="938.74854490600001"/>
    <n v="0"/>
    <n v="-1"/>
    <n v="938.74854490600001"/>
  </r>
  <r>
    <n v="1159"/>
    <x v="1"/>
    <n v="1160"/>
    <x v="3"/>
    <s v="Opex"/>
    <x v="8"/>
    <x v="39"/>
    <n v="443.83328897600006"/>
    <n v="431.48"/>
    <n v="-2.7833173587545001E-2"/>
    <n v="12.353288976000044"/>
    <n v="490.01480897600004"/>
    <n v="431.49"/>
    <n v="-0.11943477605973019"/>
    <n v="58.524808976000031"/>
    <n v="506.87472897600003"/>
    <n v="431.47"/>
    <n v="-0.14876403313365882"/>
    <n v="75.404728976000001"/>
    <n v="506.87472897600003"/>
    <n v="431.45"/>
    <n v="-0.14880349061468268"/>
    <n v="75.42472897600004"/>
    <n v="527.72702452008002"/>
    <n v="936.03"/>
    <n v="0.77370109262688325"/>
    <n v="-408.30297547991995"/>
    <n v="2475.3245804240805"/>
    <n v="2661.92"/>
    <n v="7.5382202823660149E-2"/>
    <n v="-186.59541957591955"/>
  </r>
  <r>
    <n v="1159"/>
    <x v="1"/>
    <n v="1160"/>
    <x v="3"/>
    <s v="Opex"/>
    <x v="8"/>
    <x v="40"/>
    <n v="504.35601020000001"/>
    <n v="0"/>
    <n v="-1"/>
    <n v="504.35601020000001"/>
    <n v="556.83501019999994"/>
    <n v="0"/>
    <n v="-1"/>
    <n v="556.83501019999994"/>
    <n v="575.99401019999993"/>
    <n v="0"/>
    <n v="-1"/>
    <n v="575.99401019999993"/>
    <n v="575.99401019999993"/>
    <n v="0"/>
    <n v="-1"/>
    <n v="575.99401019999993"/>
    <n v="599.68980059099999"/>
    <n v="0"/>
    <n v="-1"/>
    <n v="599.68980059099999"/>
    <n v="2812.8688413910004"/>
    <n v="0"/>
    <n v="-1"/>
    <n v="2812.8688413910004"/>
  </r>
  <r>
    <n v="1159"/>
    <x v="1"/>
    <n v="1160"/>
    <x v="3"/>
    <s v="Opex"/>
    <x v="8"/>
    <x v="41"/>
    <n v="6054.6940000000004"/>
    <n v="0"/>
    <n v="-1"/>
    <n v="6054.6940000000004"/>
    <n v="6684.6939999999995"/>
    <n v="6054.69"/>
    <n v="-9.4245750067243117E-2"/>
    <n v="630.00399999999991"/>
    <n v="6914.6939999999995"/>
    <n v="0"/>
    <n v="-1"/>
    <n v="6914.6939999999995"/>
    <n v="6914.6939999999995"/>
    <n v="0"/>
    <n v="-1"/>
    <n v="6914.6939999999995"/>
    <n v="7199.1572699999997"/>
    <n v="0"/>
    <n v="-1"/>
    <n v="7199.1572699999997"/>
    <n v="33767.933269999994"/>
    <n v="6054.69"/>
    <n v="-0.82069705150184336"/>
    <n v="27713.243269999995"/>
  </r>
  <r>
    <n v="1159"/>
    <x v="1"/>
    <n v="1160"/>
    <x v="3"/>
    <s v="Opex"/>
    <x v="8"/>
    <x v="42"/>
    <n v="59431.319999999992"/>
    <n v="53353.34"/>
    <n v="-0.10226897198312268"/>
    <n v="6077.9799999999959"/>
    <n v="65474.28"/>
    <n v="59436.160000000003"/>
    <n v="-9.2221250848424696E-2"/>
    <n v="6038.1199999999953"/>
    <n v="67636.28"/>
    <n v="55602.7"/>
    <n v="-0.17791605333705518"/>
    <n v="12033.580000000002"/>
    <n v="67636.28"/>
    <n v="56778.85"/>
    <n v="-0.16052671731798374"/>
    <n v="10857.43"/>
    <n v="70471.816699999996"/>
    <n v="46485.87"/>
    <n v="-0.34036225860486435"/>
    <n v="23985.946699999993"/>
    <n v="330649.9767"/>
    <n v="271656.92000000004"/>
    <n v="-0.17841542675662903"/>
    <n v="58993.056699999957"/>
  </r>
  <r>
    <n v="1159"/>
    <x v="1"/>
    <n v="1160"/>
    <x v="3"/>
    <s v="Opex"/>
    <x v="8"/>
    <x v="43"/>
    <n v="157.68"/>
    <n v="157.68"/>
    <n v="0"/>
    <n v="0"/>
    <n v="175.20000000000002"/>
    <n v="157.68"/>
    <n v="-0.10000000000000009"/>
    <n v="17.52000000000001"/>
    <n v="192.72000000000003"/>
    <n v="157.68"/>
    <n v="-0.18181818181818188"/>
    <n v="35.04000000000002"/>
    <n v="192.72000000000003"/>
    <n v="157.68"/>
    <n v="-0.18181818181818188"/>
    <n v="35.04000000000002"/>
    <n v="211.99199999999999"/>
    <n v="157.68"/>
    <n v="-0.25619834710743794"/>
    <n v="54.311999999999983"/>
    <n v="930.31200000000001"/>
    <n v="788.40000000000009"/>
    <n v="-0.15254237288135586"/>
    <n v="141.91199999999992"/>
  </r>
  <r>
    <n v="1159"/>
    <x v="1"/>
    <n v="1160"/>
    <x v="3"/>
    <s v="Opex"/>
    <x v="8"/>
    <x v="44"/>
    <n v="7560"/>
    <n v="14355"/>
    <n v="0.89880952380952372"/>
    <n v="-6795"/>
    <n v="8400"/>
    <n v="7960"/>
    <n v="-5.2380952380952417E-2"/>
    <n v="440"/>
    <n v="9240"/>
    <n v="6700"/>
    <n v="-0.27489177489177485"/>
    <n v="2540"/>
    <n v="9240"/>
    <n v="7800"/>
    <n v="-0.1558441558441559"/>
    <n v="1440"/>
    <n v="9655.7999999999993"/>
    <n v="6585"/>
    <n v="-0.31802647113651894"/>
    <n v="3070.7999999999993"/>
    <n v="44095.8"/>
    <n v="43400"/>
    <n v="-1.5779280566403209E-2"/>
    <n v="695.80000000000291"/>
  </r>
  <r>
    <n v="1159"/>
    <x v="1"/>
    <n v="1160"/>
    <x v="3"/>
    <s v="Opex"/>
    <x v="8"/>
    <x v="45"/>
    <n v="0"/>
    <n v="0"/>
    <n v="-1"/>
    <n v="0"/>
    <n v="257.04000000000002"/>
    <n v="0"/>
    <n v="-1"/>
    <n v="257.04000000000002"/>
    <n v="514.08000000000004"/>
    <n v="0"/>
    <n v="-1"/>
    <n v="514.08000000000004"/>
    <n v="514.08000000000004"/>
    <n v="0"/>
    <n v="-1"/>
    <n v="514.08000000000004"/>
    <n v="514.08000000000004"/>
    <n v="0"/>
    <n v="-1"/>
    <n v="514.08000000000004"/>
    <n v="1799.2800000000002"/>
    <n v="0"/>
    <n v="-1"/>
    <n v="1799.2800000000002"/>
  </r>
  <r>
    <n v="1159"/>
    <x v="1"/>
    <n v="1150"/>
    <x v="1"/>
    <s v="Opex"/>
    <x v="8"/>
    <x v="46"/>
    <n v="0"/>
    <n v="7976.39"/>
    <n v="-1"/>
    <n v="-7976.39"/>
    <n v="0"/>
    <n v="5278.1"/>
    <n v="-1"/>
    <n v="-5278.1"/>
    <n v="0"/>
    <n v="-43850.09"/>
    <n v="-1"/>
    <n v="43850.09"/>
    <n v="0"/>
    <n v="10118.66"/>
    <n v="-1"/>
    <n v="-10118.66"/>
    <n v="0"/>
    <n v="7664.94"/>
    <n v="-1"/>
    <n v="-7664.94"/>
    <n v="0"/>
    <n v="-12811.999999999996"/>
    <n v="-1"/>
    <n v="12811.999999999996"/>
  </r>
  <r>
    <n v="1159"/>
    <x v="1"/>
    <n v="1150"/>
    <x v="1"/>
    <s v="Opex"/>
    <x v="8"/>
    <x v="47"/>
    <n v="0"/>
    <n v="836.64"/>
    <n v="-1"/>
    <n v="-836.64"/>
    <n v="0"/>
    <n v="451.36"/>
    <n v="-1"/>
    <n v="-451.36"/>
    <n v="0"/>
    <n v="784.83"/>
    <n v="-1"/>
    <n v="-784.83"/>
    <n v="0"/>
    <n v="865.3"/>
    <n v="-1"/>
    <n v="-865.3"/>
    <n v="0"/>
    <n v="1421.97"/>
    <n v="-1"/>
    <n v="-1421.97"/>
    <n v="0"/>
    <n v="4360.1000000000004"/>
    <n v="-1"/>
    <n v="-4360.1000000000004"/>
  </r>
  <r>
    <n v="1159"/>
    <x v="1"/>
    <n v="1150"/>
    <x v="1"/>
    <s v="Opex"/>
    <x v="8"/>
    <x v="4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49"/>
    <n v="0"/>
    <n v="638.1"/>
    <n v="-1"/>
    <n v="-638.1"/>
    <n v="0"/>
    <n v="422.26"/>
    <n v="-1"/>
    <n v="-422.26"/>
    <n v="0"/>
    <n v="734.21"/>
    <n v="-1"/>
    <n v="-734.21"/>
    <n v="0"/>
    <n v="809.51"/>
    <n v="-1"/>
    <n v="-809.51"/>
    <n v="0"/>
    <n v="613.19000000000005"/>
    <n v="-1"/>
    <n v="-613.19000000000005"/>
    <n v="0"/>
    <n v="3217.27"/>
    <n v="-1"/>
    <n v="-3217.27"/>
  </r>
  <r>
    <n v="1159"/>
    <x v="1"/>
    <n v="1150"/>
    <x v="1"/>
    <s v="Opex"/>
    <x v="8"/>
    <x v="5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5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52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0"/>
    <x v="1"/>
    <s v="Opex"/>
    <x v="8"/>
    <x v="53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46"/>
    <n v="0"/>
    <n v="6630.07"/>
    <n v="-1"/>
    <n v="-6630.07"/>
    <n v="0"/>
    <n v="6630.06"/>
    <n v="-1"/>
    <n v="-6630.06"/>
    <n v="0"/>
    <n v="-5710.23"/>
    <n v="-1"/>
    <n v="5710.23"/>
    <n v="0"/>
    <n v="19587.91"/>
    <n v="-1"/>
    <n v="-19587.91"/>
    <n v="0"/>
    <n v="7219.05"/>
    <n v="-1"/>
    <n v="-7219.05"/>
    <n v="0"/>
    <n v="34356.86"/>
    <n v="-1"/>
    <n v="-34356.86"/>
  </r>
  <r>
    <n v="1159"/>
    <x v="1"/>
    <n v="1159"/>
    <x v="2"/>
    <s v="Opex"/>
    <x v="8"/>
    <x v="47"/>
    <n v="0"/>
    <n v="650.35"/>
    <n v="-1"/>
    <n v="-650.35"/>
    <n v="0"/>
    <n v="566.97"/>
    <n v="-1"/>
    <n v="-566.97"/>
    <n v="0"/>
    <n v="566.97"/>
    <n v="-1"/>
    <n v="-566.97"/>
    <n v="0"/>
    <n v="1675.07"/>
    <n v="-1"/>
    <n v="-1675.07"/>
    <n v="0"/>
    <n v="1339.25"/>
    <n v="-1"/>
    <n v="-1339.25"/>
    <n v="0"/>
    <n v="4798.6100000000006"/>
    <n v="-1"/>
    <n v="-4798.6100000000006"/>
  </r>
  <r>
    <n v="1159"/>
    <x v="1"/>
    <n v="1159"/>
    <x v="2"/>
    <s v="Opex"/>
    <x v="8"/>
    <x v="4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49"/>
    <n v="0"/>
    <n v="530.4"/>
    <n v="-1"/>
    <n v="-530.4"/>
    <n v="0"/>
    <n v="530.41999999999996"/>
    <n v="-1"/>
    <n v="-530.41999999999996"/>
    <n v="0"/>
    <n v="530.41"/>
    <n v="-1"/>
    <n v="-530.41"/>
    <n v="0"/>
    <n v="1567.03"/>
    <n v="-1"/>
    <n v="-1567.03"/>
    <n v="0"/>
    <n v="577.52"/>
    <n v="-1"/>
    <n v="-577.52"/>
    <n v="0"/>
    <n v="3735.78"/>
    <n v="-1"/>
    <n v="-3735.78"/>
  </r>
  <r>
    <n v="1159"/>
    <x v="1"/>
    <n v="1159"/>
    <x v="2"/>
    <s v="Opex"/>
    <x v="8"/>
    <x v="5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5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52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59"/>
    <x v="2"/>
    <s v="Opex"/>
    <x v="8"/>
    <x v="53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46"/>
    <n v="0"/>
    <n v="6727.47"/>
    <n v="-1"/>
    <n v="-6727.47"/>
    <n v="0"/>
    <n v="6727.43"/>
    <n v="-1"/>
    <n v="-6727.43"/>
    <n v="0"/>
    <n v="-13372.17"/>
    <n v="-1"/>
    <n v="13372.17"/>
    <n v="0"/>
    <n v="6727.46"/>
    <n v="-1"/>
    <n v="-6727.46"/>
    <n v="0"/>
    <n v="6727.44"/>
    <n v="-1"/>
    <n v="-6727.44"/>
    <n v="0"/>
    <n v="13537.630000000001"/>
    <n v="-1"/>
    <n v="-13537.630000000001"/>
  </r>
  <r>
    <n v="1159"/>
    <x v="1"/>
    <n v="1160"/>
    <x v="3"/>
    <s v="Opex"/>
    <x v="8"/>
    <x v="47"/>
    <n v="0"/>
    <n v="643.55999999999995"/>
    <n v="-1"/>
    <n v="-643.55999999999995"/>
    <n v="0"/>
    <n v="575.29999999999995"/>
    <n v="-1"/>
    <n v="-575.29999999999995"/>
    <n v="0"/>
    <n v="575.29999999999995"/>
    <n v="-1"/>
    <n v="-575.29999999999995"/>
    <n v="0"/>
    <n v="575.32000000000005"/>
    <n v="-1"/>
    <n v="-575.32000000000005"/>
    <n v="0"/>
    <n v="1248.05"/>
    <n v="-1"/>
    <n v="-1248.05"/>
    <n v="0"/>
    <n v="3617.5299999999997"/>
    <n v="-1"/>
    <n v="-3617.5299999999997"/>
  </r>
  <r>
    <n v="1159"/>
    <x v="1"/>
    <n v="1160"/>
    <x v="3"/>
    <s v="Opex"/>
    <x v="8"/>
    <x v="48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49"/>
    <n v="0"/>
    <n v="538.19000000000005"/>
    <n v="-1"/>
    <n v="-538.19000000000005"/>
    <n v="0"/>
    <n v="538.19000000000005"/>
    <n v="-1"/>
    <n v="-538.19000000000005"/>
    <n v="0"/>
    <n v="538.21"/>
    <n v="-1"/>
    <n v="-538.21"/>
    <n v="0"/>
    <n v="538.17999999999995"/>
    <n v="-1"/>
    <n v="-538.17999999999995"/>
    <n v="0"/>
    <n v="538.21"/>
    <n v="-1"/>
    <n v="-538.21"/>
    <n v="0"/>
    <n v="2690.98"/>
    <n v="-1"/>
    <n v="-2690.98"/>
  </r>
  <r>
    <n v="1159"/>
    <x v="1"/>
    <n v="1160"/>
    <x v="3"/>
    <s v="Opex"/>
    <x v="8"/>
    <x v="5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51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52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  <r>
    <n v="1159"/>
    <x v="1"/>
    <n v="1160"/>
    <x v="3"/>
    <s v="Opex"/>
    <x v="8"/>
    <x v="53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  <n v="0"/>
    <n v="0"/>
    <n v="-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x v="0"/>
    <n v="38001013002"/>
    <x v="0"/>
    <s v="Evento - 5725 - Vale Transporte , Janeiro , 47150 - Jurídico Corporativo , 4701150"/>
    <n v="1159"/>
    <x v="0"/>
    <n v="47"/>
    <n v="1150"/>
    <x v="0"/>
    <n v="-279.60000000000002"/>
  </r>
  <r>
    <x v="0"/>
    <x v="0"/>
    <n v="38001013001"/>
    <x v="1"/>
    <s v="Evento - T120 - Provisão de FGTS de Férias - Mês , Janeiro , 47150 - Jurídico Corporativo , 4701150"/>
    <n v="1159"/>
    <x v="0"/>
    <n v="47"/>
    <n v="1150"/>
    <x v="0"/>
    <n v="638.1"/>
  </r>
  <r>
    <x v="0"/>
    <x v="0"/>
    <n v="38001013001"/>
    <x v="1"/>
    <s v="Evento - T120 - Provisão de FGTS de Férias - Mês , Janeiro , 47159 - Diretoria Jurídica , 4701159"/>
    <n v="1159"/>
    <x v="0"/>
    <n v="47"/>
    <n v="1159"/>
    <x v="1"/>
    <n v="530.4"/>
  </r>
  <r>
    <x v="0"/>
    <x v="0"/>
    <n v="38001013001"/>
    <x v="1"/>
    <s v="Evento - T120 - Provisão de FGTS de Férias - Mês , Janeiro , 47160 - Jurídico Imobiliário , 4701160"/>
    <n v="1159"/>
    <x v="0"/>
    <n v="47"/>
    <n v="1160"/>
    <x v="2"/>
    <n v="538.19000000000005"/>
  </r>
  <r>
    <x v="0"/>
    <x v="0"/>
    <n v="38001013002"/>
    <x v="0"/>
    <s v="Evento - B074 - GPS Salário Acidente de Trabalho 2.6712% , Janeiro , 47150 - Jurídico Corporativo , 4701150"/>
    <n v="1159"/>
    <x v="0"/>
    <n v="47"/>
    <n v="1150"/>
    <x v="0"/>
    <n v="664.38"/>
  </r>
  <r>
    <x v="0"/>
    <x v="0"/>
    <n v="38001013002"/>
    <x v="0"/>
    <s v="Evento - B074 - GPS Salário Acidente de Trabalho 2.7516% , Janeiro , 47150 - Jurídico Corporativo , 4701150"/>
    <n v="1159"/>
    <x v="0"/>
    <n v="47"/>
    <n v="1150"/>
    <x v="0"/>
    <n v="1462"/>
  </r>
  <r>
    <x v="0"/>
    <x v="0"/>
    <n v="38001013002"/>
    <x v="0"/>
    <s v="Evento - B076 - GPS Salário Terceiros 5.80% , Janeiro , 47150 - Jurídico Corporativo , 4701150"/>
    <n v="1159"/>
    <x v="0"/>
    <n v="47"/>
    <n v="1150"/>
    <x v="0"/>
    <n v="4524.32"/>
  </r>
  <r>
    <x v="0"/>
    <x v="0"/>
    <n v="38001013002"/>
    <x v="0"/>
    <s v="Evento - B074 - GPS Salário Acidente de Trabalho 2.7516% , Janeiro , 47159 - Diretoria Jurídica , 4701159"/>
    <n v="1159"/>
    <x v="0"/>
    <n v="47"/>
    <n v="1159"/>
    <x v="1"/>
    <n v="1641.89"/>
  </r>
  <r>
    <x v="0"/>
    <x v="0"/>
    <n v="38001013002"/>
    <x v="0"/>
    <s v="Evento - B076 - GPS Salário Terceiros 5.80% , Janeiro , 47159 - Diretoria Jurídica , 4701159"/>
    <n v="1159"/>
    <x v="0"/>
    <n v="47"/>
    <n v="1159"/>
    <x v="1"/>
    <n v="3460.89"/>
  </r>
  <r>
    <x v="0"/>
    <x v="0"/>
    <n v="38001013002"/>
    <x v="0"/>
    <s v="Evento - B074 - GPS Salário Acidente de Trabalho 2.6712% , Janeiro , 47160 - Jurídico Imobiliário , 4701160"/>
    <n v="1159"/>
    <x v="0"/>
    <n v="47"/>
    <n v="1160"/>
    <x v="2"/>
    <n v="216.64"/>
  </r>
  <r>
    <x v="0"/>
    <x v="0"/>
    <n v="38001013002"/>
    <x v="0"/>
    <s v="Evento - B074 - GPS Salário Acidente de Trabalho 2.7516% , Janeiro , 47160 - Jurídico Imobiliário , 4701160"/>
    <n v="1159"/>
    <x v="0"/>
    <n v="47"/>
    <n v="1160"/>
    <x v="2"/>
    <n v="1498.63"/>
  </r>
  <r>
    <x v="0"/>
    <x v="0"/>
    <n v="38001013002"/>
    <x v="0"/>
    <s v="Evento - B076 - GPS Salário Terceiros 5.80% , Janeiro , 47160 - Jurídico Imobiliário , 4701160"/>
    <n v="1159"/>
    <x v="0"/>
    <n v="47"/>
    <n v="1160"/>
    <x v="2"/>
    <n v="3629.31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50"/>
    <x v="0"/>
    <n v="-1650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60"/>
    <x v="2"/>
    <n v="-1650"/>
  </r>
  <r>
    <x v="0"/>
    <x v="0"/>
    <n v="38001013002"/>
    <x v="0"/>
    <s v="Evento - 8030 - Assistência Médica , Janeiro , 47150 - Jurídico Corporativo , 4701150"/>
    <n v="1159"/>
    <x v="0"/>
    <n v="47"/>
    <n v="1150"/>
    <x v="0"/>
    <n v="-647.4"/>
  </r>
  <r>
    <x v="0"/>
    <x v="0"/>
    <n v="38001013002"/>
    <x v="0"/>
    <s v="Evento - 8086 - Assistência Médica Dependente , Janeiro , 47150 - Jurídico Corporativo , 4701150"/>
    <n v="1159"/>
    <x v="0"/>
    <n v="47"/>
    <n v="1150"/>
    <x v="0"/>
    <n v="-870.96"/>
  </r>
  <r>
    <x v="0"/>
    <x v="0"/>
    <n v="38001013002"/>
    <x v="0"/>
    <s v="Evento - 8030 - Assistência Médica , Janeiro , 47159 - Diretoria Jurídica , 4701159"/>
    <n v="1159"/>
    <x v="0"/>
    <n v="47"/>
    <n v="1159"/>
    <x v="1"/>
    <n v="-647.4"/>
  </r>
  <r>
    <x v="0"/>
    <x v="0"/>
    <n v="38001013002"/>
    <x v="0"/>
    <s v="Evento - 8030 - Assistência Médica , Janeiro , 47160 - Jurídico Imobiliário , 4701160"/>
    <n v="1159"/>
    <x v="0"/>
    <n v="47"/>
    <n v="1160"/>
    <x v="2"/>
    <n v="-431.6"/>
  </r>
  <r>
    <x v="0"/>
    <x v="0"/>
    <n v="38001013002"/>
    <x v="0"/>
    <s v="Evento - 8086 - Assistência Médica Dependente , Janeiro , 47160 - Jurídico Imobiliário , 4701160"/>
    <n v="1159"/>
    <x v="0"/>
    <n v="47"/>
    <n v="1160"/>
    <x v="2"/>
    <n v="-655.16"/>
  </r>
  <r>
    <x v="0"/>
    <x v="0"/>
    <n v="38001013001"/>
    <x v="1"/>
    <s v="Evento - T100 - Provisão de Férias - Mês , Janeiro , 47150 - Jurídico Corporativo , 4701150"/>
    <n v="1159"/>
    <x v="0"/>
    <n v="47"/>
    <n v="1150"/>
    <x v="0"/>
    <n v="7976.39"/>
  </r>
  <r>
    <x v="0"/>
    <x v="0"/>
    <n v="38001013001"/>
    <x v="1"/>
    <s v="Evento - T100 - Provisão de Férias - Mês , Janeiro , 47159 - Diretoria Jurídica , 4701159"/>
    <n v="1159"/>
    <x v="0"/>
    <n v="47"/>
    <n v="1159"/>
    <x v="1"/>
    <n v="6630.07"/>
  </r>
  <r>
    <x v="0"/>
    <x v="0"/>
    <n v="38001013001"/>
    <x v="1"/>
    <s v="Evento - T100 - Provisão de Férias - Mês , Janeiro , 47160 - Jurídico Imobiliário , 4701160"/>
    <n v="1159"/>
    <x v="0"/>
    <n v="47"/>
    <n v="1160"/>
    <x v="2"/>
    <n v="6727.47"/>
  </r>
  <r>
    <x v="0"/>
    <x v="0"/>
    <n v="38001013002"/>
    <x v="0"/>
    <s v="Evento - 5530 - Contribuição Assistencial , Janeiro , 47150 - Jurídico Corporativo , 4701150"/>
    <n v="1159"/>
    <x v="0"/>
    <n v="47"/>
    <n v="1150"/>
    <x v="0"/>
    <n v="-131.46"/>
  </r>
  <r>
    <x v="0"/>
    <x v="0"/>
    <n v="38001013002"/>
    <x v="0"/>
    <s v="Evento - 5530 - Contribuição Assistencial , Janeiro , 47159 - Diretoria Jurídica , 4701159"/>
    <n v="1159"/>
    <x v="0"/>
    <n v="47"/>
    <n v="1159"/>
    <x v="1"/>
    <n v="-46.3"/>
  </r>
  <r>
    <x v="0"/>
    <x v="0"/>
    <n v="38001013002"/>
    <x v="0"/>
    <s v="Evento - 5530 - Contribuição Assistencial , Janeiro , 47160 - Jurídico Imobiliário , 4701160"/>
    <n v="1159"/>
    <x v="0"/>
    <n v="47"/>
    <n v="1160"/>
    <x v="2"/>
    <n v="-24.02"/>
  </r>
  <r>
    <x v="0"/>
    <x v="0"/>
    <n v="38001013002"/>
    <x v="0"/>
    <s v="Rateio INSS Patronal 01.2026 -  47150 - Jurídico Corporativo"/>
    <n v="1159"/>
    <x v="0"/>
    <n v="47"/>
    <n v="1150"/>
    <x v="0"/>
    <n v="7800.57"/>
  </r>
  <r>
    <x v="0"/>
    <x v="0"/>
    <n v="38001013002"/>
    <x v="0"/>
    <s v="Rateio INSS Patronal 01.2026 -  47159 - Diretoria Jurídica"/>
    <n v="1159"/>
    <x v="0"/>
    <n v="47"/>
    <n v="1159"/>
    <x v="1"/>
    <n v="5967.06"/>
  </r>
  <r>
    <x v="0"/>
    <x v="0"/>
    <n v="38001013002"/>
    <x v="0"/>
    <s v="Rateio INSS Patronal 01.2026 -  47160 - Jurídico Imobiliário"/>
    <n v="1159"/>
    <x v="0"/>
    <n v="47"/>
    <n v="1160"/>
    <x v="2"/>
    <n v="6257.45"/>
  </r>
  <r>
    <x v="0"/>
    <x v="0"/>
    <n v="38001013001"/>
    <x v="1"/>
    <s v="Evento - T200 - Provisão de 13o. Salário - Mês , Janeiro , 47150 - Jurídico Corporativo , 4701150"/>
    <n v="1159"/>
    <x v="0"/>
    <n v="47"/>
    <n v="1150"/>
    <x v="0"/>
    <n v="5982.31"/>
  </r>
  <r>
    <x v="0"/>
    <x v="0"/>
    <n v="38001013001"/>
    <x v="1"/>
    <s v="Evento - T200 - Provisão de 13o. Salário - Mês , Janeiro , 47159 - Diretoria Jurídica , 4701159"/>
    <n v="1159"/>
    <x v="0"/>
    <n v="47"/>
    <n v="1159"/>
    <x v="1"/>
    <n v="4972.55"/>
  </r>
  <r>
    <x v="0"/>
    <x v="0"/>
    <n v="38001013001"/>
    <x v="1"/>
    <s v="Evento - T200 - Provisão de 13o. Salário - Mês , Janeiro , 47160 - Jurídico Imobiliário , 4701160"/>
    <n v="1159"/>
    <x v="0"/>
    <n v="47"/>
    <n v="1160"/>
    <x v="2"/>
    <n v="5045.59"/>
  </r>
  <r>
    <x v="0"/>
    <x v="0"/>
    <n v="38001013002"/>
    <x v="0"/>
    <s v="Evento - B410 - FGTS Salário , Janeiro , 47150 - Jurídico Corporativo , 4701150"/>
    <n v="1159"/>
    <x v="0"/>
    <n v="47"/>
    <n v="1150"/>
    <x v="0"/>
    <n v="6240.41"/>
  </r>
  <r>
    <x v="0"/>
    <x v="0"/>
    <n v="38001013002"/>
    <x v="0"/>
    <s v="Evento - B410 - FGTS Salário , Janeiro , 47159 - Diretoria Jurídica , 4701159"/>
    <n v="1159"/>
    <x v="0"/>
    <n v="47"/>
    <n v="1159"/>
    <x v="1"/>
    <n v="4773.63"/>
  </r>
  <r>
    <x v="0"/>
    <x v="0"/>
    <n v="38001013002"/>
    <x v="0"/>
    <s v="Evento - B410 - FGTS Salário , Janeiro , 47160 - Jurídico Imobiliário , 4701160"/>
    <n v="1159"/>
    <x v="0"/>
    <n v="47"/>
    <n v="1160"/>
    <x v="2"/>
    <n v="5005.93"/>
  </r>
  <r>
    <x v="0"/>
    <x v="0"/>
    <n v="38001013001"/>
    <x v="1"/>
    <s v="Evento - T110 - Provisão de INSS de Férias - Mês , Janeiro , 47150 - Jurídico Corporativo , 4701150"/>
    <n v="1159"/>
    <x v="0"/>
    <n v="47"/>
    <n v="1150"/>
    <x v="0"/>
    <n v="836.64"/>
  </r>
  <r>
    <x v="0"/>
    <x v="0"/>
    <n v="38001013001"/>
    <x v="1"/>
    <s v="Evento - T110 - Provisão de INSS de Férias - Mês , Janeiro , 47159 - Diretoria Jurídica , 4701159"/>
    <n v="1159"/>
    <x v="0"/>
    <n v="47"/>
    <n v="1159"/>
    <x v="1"/>
    <n v="650.35"/>
  </r>
  <r>
    <x v="0"/>
    <x v="0"/>
    <n v="38001013001"/>
    <x v="1"/>
    <s v="Evento - T110 - Provisão de INSS de Férias - Mês , Janeiro , 47160 - Jurídico Imobiliário , 4701160"/>
    <n v="1159"/>
    <x v="0"/>
    <n v="47"/>
    <n v="1160"/>
    <x v="2"/>
    <n v="643.55999999999995"/>
  </r>
  <r>
    <x v="0"/>
    <x v="0"/>
    <n v="38001013002"/>
    <x v="0"/>
    <s v="Evento - 1510 - Insuficiência de Saldo , Janeiro , 47150 - Jurídico Corporativo , 4701150"/>
    <n v="1159"/>
    <x v="0"/>
    <n v="47"/>
    <n v="1150"/>
    <x v="0"/>
    <n v="0.67"/>
  </r>
  <r>
    <x v="0"/>
    <x v="0"/>
    <n v="38001013002"/>
    <x v="0"/>
    <s v="Evento - 0001 - Salário , Janeiro , 47150 - Jurídico Corporativo , 4701150"/>
    <n v="1159"/>
    <x v="0"/>
    <n v="47"/>
    <n v="1150"/>
    <x v="0"/>
    <n v="53133.31"/>
  </r>
  <r>
    <x v="0"/>
    <x v="0"/>
    <n v="38001013002"/>
    <x v="0"/>
    <s v="Evento - 7010 - Insuficiência de Saldo , Janeiro , 47150 - Jurídico Corporativo , 4701150"/>
    <n v="1159"/>
    <x v="0"/>
    <n v="47"/>
    <n v="1150"/>
    <x v="0"/>
    <n v="-0.67"/>
  </r>
  <r>
    <x v="0"/>
    <x v="0"/>
    <n v="38001013002"/>
    <x v="0"/>
    <s v="Evento - 0001 - Salário , Janeiro , 47159 - Diretoria Jurídica , 4701159"/>
    <n v="1159"/>
    <x v="0"/>
    <n v="47"/>
    <n v="1159"/>
    <x v="1"/>
    <n v="59670.559999999998"/>
  </r>
  <r>
    <x v="0"/>
    <x v="0"/>
    <n v="38001013002"/>
    <x v="0"/>
    <s v="Evento - 0001 - Salário , Janeiro , 47160 - Jurídico Imobiliário , 4701160"/>
    <n v="1159"/>
    <x v="0"/>
    <n v="47"/>
    <n v="1160"/>
    <x v="2"/>
    <n v="54464.12"/>
  </r>
  <r>
    <x v="0"/>
    <x v="1"/>
    <n v="38001027005"/>
    <x v="2"/>
    <s v="Item Despesa, NF: 85173402088 , Fornecedor: CAIXA VIDA E PREVIDENCIA S/A - 03730204000176 , Desc NF:  Ticket #301112 , Método Pgmto: BR_BOLETO"/>
    <n v="1159"/>
    <x v="0"/>
    <n v="47"/>
    <n v="1150"/>
    <x v="0"/>
    <n v="192.72"/>
  </r>
  <r>
    <x v="0"/>
    <x v="1"/>
    <n v="38001027005"/>
    <x v="2"/>
    <s v="Item Despesa, NF: 85173402088 , Fornecedor: CAIXA VIDA E PREVIDENCIA S/A - 03730204000176 , Desc NF:  Ticket #301112 , Método Pgmto: BR_BOLETO"/>
    <n v="1159"/>
    <x v="0"/>
    <n v="47"/>
    <n v="1159"/>
    <x v="1"/>
    <n v="52.56"/>
  </r>
  <r>
    <x v="0"/>
    <x v="1"/>
    <n v="38001027005"/>
    <x v="2"/>
    <s v="Item Despesa, NF: 85173402088 , Fornecedor: CAIXA VIDA E PREVIDENCIA S/A - 03730204000176 , Desc NF:  Ticket #301112 , Método Pgmto: BR_BOLETO"/>
    <n v="1159"/>
    <x v="0"/>
    <n v="47"/>
    <n v="1160"/>
    <x v="2"/>
    <n v="157.68"/>
  </r>
  <r>
    <x v="0"/>
    <x v="2"/>
    <n v="38001018007"/>
    <x v="3"/>
    <s v="Item Despesa, NF: 542343 , Fornecedor: ALELO INSTITUICAO DE PAGAMENTO SA - 04740876000125 , Desc NF: Ticket #299406 , Método Pgmto: BR_BOLETO"/>
    <n v="1159"/>
    <x v="0"/>
    <n v="47"/>
    <n v="1159"/>
    <x v="1"/>
    <n v="666.8"/>
  </r>
  <r>
    <x v="0"/>
    <x v="3"/>
    <n v="38001011002"/>
    <x v="4"/>
    <s v="Item Despesa, NF: 4285 , Fornecedor: REIS, SOUZA, TAKEISHI &amp; ARSUFFI SOCIEDADE DE ADVOGADOS - 09639999000198 , Desc NF: Ticket 301684 , Método Pgmto: BR_EFT"/>
    <n v="1159"/>
    <x v="0"/>
    <n v="47"/>
    <n v="1150"/>
    <x v="0"/>
    <n v="56402.77"/>
  </r>
  <r>
    <x v="0"/>
    <x v="3"/>
    <n v="38001011004"/>
    <x v="5"/>
    <s v="Item Despesa, NF: 260590020076084 , Fornecedor: SECRETARIA DA FAZENDA E PLANEJAMENTO - 46377222000129 , Desc NF: Ticket 302131 , Método Pgmto: BR_BOLETO"/>
    <n v="1159"/>
    <x v="0"/>
    <n v="47"/>
    <n v="1150"/>
    <x v="0"/>
    <n v="583.98"/>
  </r>
  <r>
    <x v="0"/>
    <x v="4"/>
    <n v="38001019004"/>
    <x v="6"/>
    <s v="Item Despesa, NF: REEMB#000120070748 , Fornecedor: Victor Vasconcelos Miranda , Desc NF:  , Método Pgmto: BR_EFT"/>
    <n v="1159"/>
    <x v="0"/>
    <n v="47"/>
    <n v="1159"/>
    <x v="1"/>
    <n v="643.08000000000004"/>
  </r>
  <r>
    <x v="0"/>
    <x v="5"/>
    <n v="38001002001"/>
    <x v="7"/>
    <s v="Item Despesa, NF: 301128 , Fornecedor: 7 REGISTRO CIVIL DAS PESSOAS NATURAIS SUBDISTRITO CONSOLACAO - 59882800000126 , Desc NF: Ticket #301128 , Método Pgmto: BR_EFT"/>
    <n v="1159"/>
    <x v="0"/>
    <n v="47"/>
    <n v="1160"/>
    <x v="2"/>
    <n v="3137.4"/>
  </r>
  <r>
    <x v="0"/>
    <x v="1"/>
    <n v="38001027007"/>
    <x v="8"/>
    <s v="Item Despesa, NF: 382504 , Fornecedor: RB REDE DE BENEFICIOS E GESTAO EMPRESARIAL LTDA - 00342669000161 , Desc NF: Ticket 298588 - Abatimento ADTO3300907 , Método Pgmto: BR_BOLETO"/>
    <n v="1159"/>
    <x v="0"/>
    <n v="47"/>
    <n v="1150"/>
    <x v="0"/>
    <n v="134.15"/>
  </r>
  <r>
    <x v="0"/>
    <x v="1"/>
    <n v="38001027007"/>
    <x v="8"/>
    <s v="Item Despesa, NF: 35274 , Fornecedor: RB REDE DE BENEFICIOS E GESTAO EMPRESARIAL LTDA - 00342669000161 , Desc NF: Ticket 298588 - Abatimento ADTO3300907 , Método Pgmto: BR_BOLETO"/>
    <n v="1159"/>
    <x v="0"/>
    <n v="47"/>
    <n v="1150"/>
    <x v="0"/>
    <n v="770.52"/>
  </r>
  <r>
    <x v="0"/>
    <x v="6"/>
    <n v="38001008004"/>
    <x v="9"/>
    <s v="Imposto a recuperar, NF: 11544-1-20260123-56060414000160 , Fornecedor: MAKE A BREAK LTDA - 56060414000160 , Desc NF: Ticket #301436"/>
    <n v="1159"/>
    <x v="0"/>
    <n v="47"/>
    <n v="1159"/>
    <x v="1"/>
    <n v="52.41"/>
  </r>
  <r>
    <x v="0"/>
    <x v="6"/>
    <n v="38001008004"/>
    <x v="9"/>
    <s v="Frete, NF: 11544-1-20260123-56060414000160 , Fornecedor: MAKE A BREAK LTDA - 56060414000160 , Desc NF: Ticket #301436"/>
    <n v="1159"/>
    <x v="0"/>
    <n v="47"/>
    <n v="1159"/>
    <x v="1"/>
    <n v="56"/>
  </r>
  <r>
    <x v="0"/>
    <x v="6"/>
    <n v="38001008004"/>
    <x v="9"/>
    <s v="Item Despesa, NF: 11544-1-20260123-56060414000160 , Fornecedor: MAKE A BREAK LTDA - 56060414000160 , Desc NF: Ticket #301436 , Método Pgmto: BR_EFT"/>
    <n v="1159"/>
    <x v="0"/>
    <n v="47"/>
    <n v="1159"/>
    <x v="1"/>
    <n v="1110.5899999999999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50"/>
    <x v="0"/>
    <n v="1650"/>
  </r>
  <r>
    <x v="0"/>
    <x v="3"/>
    <n v="38001011004"/>
    <x v="5"/>
    <s v="Item Despesa, NF: 260590020611790 , Fornecedor: SECRETARIA DA FAZENDA E PLANEJAMENTO - 46377222000129 , Desc NF: Ticket 301878 , Método Pgmto: BR_BOLETO"/>
    <n v="1159"/>
    <x v="0"/>
    <n v="47"/>
    <n v="1150"/>
    <x v="0"/>
    <n v="164.05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60"/>
    <x v="2"/>
    <n v="1650"/>
  </r>
  <r>
    <x v="0"/>
    <x v="4"/>
    <n v="38001019005"/>
    <x v="10"/>
    <s v="Item Despesa, NF: 1064 , Fornecedor: UBER DO BRASIL TECNOLOGIA LTDA. - 17895646000187 , Desc NF: Ticket #301230 , Método Pgmto: BR_BOLETO"/>
    <n v="1159"/>
    <x v="0"/>
    <n v="47"/>
    <n v="1159"/>
    <x v="1"/>
    <n v="1064.31"/>
  </r>
  <r>
    <x v="0"/>
    <x v="2"/>
    <n v="38001018002"/>
    <x v="11"/>
    <s v="Item Despesa, NF: 700021740600 , Fornecedor: UNIDAS LOCACOES E SERVICOS S/A - 75609123000123 , Desc NF: Ticket #301232 , Método Pgmto: BR_BOLETO"/>
    <n v="1159"/>
    <x v="0"/>
    <n v="47"/>
    <n v="1159"/>
    <x v="1"/>
    <n v="6900"/>
  </r>
  <r>
    <x v="0"/>
    <x v="2"/>
    <n v="38001018001"/>
    <x v="12"/>
    <s v="Item Despesa, NF: 306338 , Fornecedor: ALELO INSTITUICAO DE PAGAMENTO SA - 04740876000125 , Desc NF: Ticket #299402 , Método Pgmto: BR_BOLETO"/>
    <n v="1159"/>
    <x v="0"/>
    <n v="47"/>
    <n v="1159"/>
    <x v="1"/>
    <n v="2178.56"/>
  </r>
  <r>
    <x v="0"/>
    <x v="0"/>
    <n v="38001013002"/>
    <x v="0"/>
    <s v="Item Despesa, NF: 28152990105076605 , Fornecedor: SERVICO NACIONAL DE APRENDIZAGEM INDUSTRIAL SENAI - 33564543000190 , Desc NF:  , Método Pgmto: BR_BOLETO"/>
    <n v="1159"/>
    <x v="0"/>
    <n v="47"/>
    <n v="1150"/>
    <x v="0"/>
    <n v="129.78"/>
  </r>
  <r>
    <x v="0"/>
    <x v="0"/>
    <n v="38001013002"/>
    <x v="0"/>
    <s v="Item Despesa, NF: 28152990105076604 , Fornecedor: SERVICO NACIONAL DE APRENDIZAGEM INDUSTRIAL SENAI - 33564543000190 , Desc NF:  , Método Pgmto: BR_BOLETO"/>
    <n v="1159"/>
    <x v="0"/>
    <n v="47"/>
    <n v="1150"/>
    <x v="0"/>
    <n v="149.85"/>
  </r>
  <r>
    <x v="0"/>
    <x v="0"/>
    <n v="38001013002"/>
    <x v="0"/>
    <s v="Item Despesa, NF: 28152990105076605 , Fornecedor: SERVICO NACIONAL DE APRENDIZAGEM INDUSTRIAL SENAI - 33564543000190 , Desc NF:  , Método Pgmto: BR_BOLETO"/>
    <n v="1159"/>
    <x v="0"/>
    <n v="47"/>
    <n v="1159"/>
    <x v="1"/>
    <n v="119.34"/>
  </r>
  <r>
    <x v="0"/>
    <x v="0"/>
    <n v="38001013002"/>
    <x v="0"/>
    <s v="Item Despesa, NF: 28152990105076604 , Fornecedor: SERVICO NACIONAL DE APRENDIZAGEM INDUSTRIAL SENAI - 33564543000190 , Desc NF:  , Método Pgmto: BR_BOLETO"/>
    <n v="1159"/>
    <x v="0"/>
    <n v="47"/>
    <n v="1159"/>
    <x v="1"/>
    <n v="119.34"/>
  </r>
  <r>
    <x v="0"/>
    <x v="0"/>
    <n v="38001013002"/>
    <x v="0"/>
    <s v="Item Despesa, NF: 28152990105076605 , Fornecedor: SERVICO NACIONAL DE APRENDIZAGEM INDUSTRIAL SENAI - 33564543000190 , Desc NF:  , Método Pgmto: BR_BOLETO"/>
    <n v="1159"/>
    <x v="0"/>
    <n v="47"/>
    <n v="1160"/>
    <x v="2"/>
    <n v="116.66"/>
  </r>
  <r>
    <x v="0"/>
    <x v="0"/>
    <n v="38001013002"/>
    <x v="0"/>
    <s v="Item Despesa, NF: 28152990105076604 , Fornecedor: SERVICO NACIONAL DE APRENDIZAGEM INDUSTRIAL SENAI - 33564543000190 , Desc NF:  , Método Pgmto: BR_BOLETO"/>
    <n v="1159"/>
    <x v="0"/>
    <n v="47"/>
    <n v="1160"/>
    <x v="2"/>
    <n v="125.66"/>
  </r>
  <r>
    <x v="0"/>
    <x v="6"/>
    <n v="38001008004"/>
    <x v="9"/>
    <s v="Frete, NF: 45689-1-20260107-15341234000170 , Fornecedor: PAO E TALHO SANDUICHERIA LTDA - 15341234000170 , Desc NF: Ticket #299258"/>
    <n v="1159"/>
    <x v="0"/>
    <n v="47"/>
    <n v="1159"/>
    <x v="1"/>
    <n v="35"/>
  </r>
  <r>
    <x v="0"/>
    <x v="6"/>
    <n v="38001008004"/>
    <x v="9"/>
    <s v="Imposto a recuperar, NF: 45689-1-20260107-15341234000170 , Fornecedor: PAO E TALHO SANDUICHERIA LTDA - 15341234000170 , Desc NF: Ticket #299258"/>
    <n v="1159"/>
    <x v="0"/>
    <n v="47"/>
    <n v="1159"/>
    <x v="1"/>
    <n v="184.33"/>
  </r>
  <r>
    <x v="0"/>
    <x v="6"/>
    <n v="38001008004"/>
    <x v="9"/>
    <s v="Item Despesa, NF: 45689-1-20260107-15341234000170 , Fornecedor: PAO E TALHO SANDUICHERIA LTDA - 15341234000170 , Desc NF: Ticket #299258 , Método Pgmto: BR_BOLETO"/>
    <n v="1159"/>
    <x v="0"/>
    <n v="47"/>
    <n v="1159"/>
    <x v="1"/>
    <n v="1895.67"/>
  </r>
  <r>
    <x v="0"/>
    <x v="2"/>
    <n v="38001018005"/>
    <x v="13"/>
    <s v="Item Despesa, NF: 900036385400 , Fornecedor: UNIDAS LOCACOES E SERVICOS S/A - 75609123000123 , Desc NF: Ticket 301235 , Método Pgmto: BR_BOLETO"/>
    <n v="1159"/>
    <x v="0"/>
    <n v="47"/>
    <n v="1159"/>
    <x v="1"/>
    <n v="1961.38"/>
  </r>
  <r>
    <x v="0"/>
    <x v="3"/>
    <n v="38001011003"/>
    <x v="14"/>
    <s v="Item Despesa, NF: 300888 , Fornecedor: CARLA MOROZETTI BLANCO - 25585715836 , Desc NF: TICKET 300888 , Método Pgmto: BR_EFT"/>
    <n v="1159"/>
    <x v="0"/>
    <n v="47"/>
    <n v="1160"/>
    <x v="2"/>
    <n v="5000"/>
  </r>
  <r>
    <x v="0"/>
    <x v="5"/>
    <n v="38001002001"/>
    <x v="7"/>
    <s v="Item Despesa, NF: 301067 , Fornecedor: 7 REGISTRO CIVIL DAS PESSOAS NATURAIS SUBDISTRITO CONSOLACAO - 59882800000126 , Desc NF:  Ticket #301067 , Método Pgmto: BR_EFT"/>
    <n v="1159"/>
    <x v="0"/>
    <n v="47"/>
    <n v="1150"/>
    <x v="0"/>
    <n v="79.02"/>
  </r>
  <r>
    <x v="0"/>
    <x v="1"/>
    <n v="38001027008"/>
    <x v="15"/>
    <s v="Item Despesa, NF: 92477408 , Fornecedor: VR BENEFICIOS E SERVICOS DE PROCESSAMENTO S.A - 02535864000133 , Desc NF: Ticket #301625 - REGULARIZAÇÃO VR , Método Pgmto: BR_BOLETO"/>
    <n v="1159"/>
    <x v="0"/>
    <n v="47"/>
    <n v="1150"/>
    <x v="0"/>
    <n v="950"/>
  </r>
  <r>
    <x v="0"/>
    <x v="1"/>
    <n v="38001027008"/>
    <x v="15"/>
    <s v="Item Despesa, NF: 92477407 , Fornecedor: VR BENEFICIOS E SERVICOS DE PROCESSAMENTO S.A - 02535864000133 , Desc NF: Ticket #301626 - REGULARIZAÇÃO VR , Método Pgmto: BR_BOLETO"/>
    <n v="1159"/>
    <x v="0"/>
    <n v="47"/>
    <n v="1150"/>
    <x v="0"/>
    <n v="5630"/>
  </r>
  <r>
    <x v="0"/>
    <x v="1"/>
    <n v="38001027008"/>
    <x v="15"/>
    <s v="Item Despesa, NF: 92477407 , Fornecedor: VR BENEFICIOS E SERVICOS DE PROCESSAMENTO S.A - 02535864000133 , Desc NF: Ticket #301626 - REGULARIZAÇÃO VR , Método Pgmto: BR_BOLETO"/>
    <n v="1159"/>
    <x v="0"/>
    <n v="47"/>
    <n v="1159"/>
    <x v="1"/>
    <n v="2280"/>
  </r>
  <r>
    <x v="0"/>
    <x v="1"/>
    <n v="38001027008"/>
    <x v="15"/>
    <s v="Item Despesa, NF: 92477408 , Fornecedor: VR BENEFICIOS E SERVICOS DE PROCESSAMENTO S.A - 02535864000133 , Desc NF: Ticket #301625 - REGULARIZAÇÃO VR , Método Pgmto: BR_BOLETO"/>
    <n v="1159"/>
    <x v="0"/>
    <n v="47"/>
    <n v="1160"/>
    <x v="2"/>
    <n v="1425"/>
  </r>
  <r>
    <x v="0"/>
    <x v="1"/>
    <n v="38001027008"/>
    <x v="15"/>
    <s v="Item Despesa, NF: 92477407 , Fornecedor: VR BENEFICIOS E SERVICOS DE PROCESSAMENTO S.A - 02535864000133 , Desc NF: Ticket #301626 - REGULARIZAÇÃO VR , Método Pgmto: BR_BOLETO"/>
    <n v="1159"/>
    <x v="0"/>
    <n v="47"/>
    <n v="1160"/>
    <x v="2"/>
    <n v="5120"/>
  </r>
  <r>
    <x v="0"/>
    <x v="2"/>
    <n v="38001018002"/>
    <x v="11"/>
    <s v="Item Despesa, NF: 700021740600 , Fornecedor: UNIDAS LOCACOES E SERVICOS S/A - 75609123000123 , Desc NF: Ticket #301232 , Método Pgmto: BR_BOLETO"/>
    <n v="1159"/>
    <x v="0"/>
    <n v="47"/>
    <n v="1159"/>
    <x v="1"/>
    <n v="-9715.2000000000007"/>
  </r>
  <r>
    <x v="0"/>
    <x v="2"/>
    <n v="38001018005"/>
    <x v="13"/>
    <s v="Item Despesa, NF: 900036385400 , Fornecedor: UNIDAS LOCACOES E SERVICOS S/A - 75609123000123 , Desc NF: Ticket 301235 , Método Pgmto: BR_BOLETO"/>
    <n v="1159"/>
    <x v="0"/>
    <n v="47"/>
    <n v="1159"/>
    <x v="1"/>
    <n v="-2761.62"/>
  </r>
  <r>
    <x v="0"/>
    <x v="2"/>
    <n v="38001018002"/>
    <x v="11"/>
    <s v="Depreciação / Item Despesa, NF: 700021740600 , Fornecedor: UNIDAS LOCACOES E SERVICOS S/A - 75609123000123 , Desc NF: Ticket #301232 , Método Pgmto: BR_BOLETO"/>
    <n v="1159"/>
    <x v="0"/>
    <n v="47"/>
    <n v="1159"/>
    <x v="1"/>
    <n v="8652"/>
  </r>
  <r>
    <x v="0"/>
    <x v="2"/>
    <n v="38001018005"/>
    <x v="13"/>
    <s v="Depreciação / Item Despesa, NF: 900036385400 , Fornecedor: UNIDAS LOCACOES E SERVICOS S/A - 75609123000123 , Desc NF: Ticket 301235 , Método Pgmto: BR_BOLETO"/>
    <n v="1159"/>
    <x v="0"/>
    <n v="47"/>
    <n v="1159"/>
    <x v="1"/>
    <n v="2459.4"/>
  </r>
  <r>
    <x v="0"/>
    <x v="0"/>
    <n v="38001013001"/>
    <x v="1"/>
    <s v="Evento - T220 - Provisão de FGTS de 13o. Salário  - Mês , Janeiro , 47150 - Jurídico Corporativo , 4701150"/>
    <n v="1159"/>
    <x v="0"/>
    <n v="47"/>
    <n v="1150"/>
    <x v="0"/>
    <n v="478.6"/>
  </r>
  <r>
    <x v="0"/>
    <x v="0"/>
    <n v="38001013001"/>
    <x v="1"/>
    <s v="Evento - T220 - Provisão de FGTS de 13o. Salário  - Mês , Janeiro , 47159 - Diretoria Jurídica , 4701159"/>
    <n v="1159"/>
    <x v="0"/>
    <n v="47"/>
    <n v="1159"/>
    <x v="1"/>
    <n v="397.8"/>
  </r>
  <r>
    <x v="0"/>
    <x v="0"/>
    <n v="38001013001"/>
    <x v="1"/>
    <s v="Evento - T220 - Provisão de FGTS de 13o. Salário  - Mês , Janeiro , 47160 - Jurídico Imobiliário , 4701160"/>
    <n v="1159"/>
    <x v="0"/>
    <n v="47"/>
    <n v="1160"/>
    <x v="2"/>
    <n v="403.64"/>
  </r>
  <r>
    <x v="0"/>
    <x v="0"/>
    <n v="38001013001"/>
    <x v="1"/>
    <s v="Evento - T210 - Provisão de INSS de 13o. Salário - Mês , Janeiro , 47150 - Jurídico Corporativo , 4701150"/>
    <n v="1159"/>
    <x v="0"/>
    <n v="47"/>
    <n v="1150"/>
    <x v="0"/>
    <n v="511.58"/>
  </r>
  <r>
    <x v="0"/>
    <x v="0"/>
    <n v="38001013001"/>
    <x v="1"/>
    <s v="Evento - T210 - Provisão de INSS de 13o. Salário - Mês , Janeiro , 47159 - Diretoria Jurídica , 4701159"/>
    <n v="1159"/>
    <x v="0"/>
    <n v="47"/>
    <n v="1159"/>
    <x v="1"/>
    <n v="425.23"/>
  </r>
  <r>
    <x v="0"/>
    <x v="0"/>
    <n v="38001013001"/>
    <x v="1"/>
    <s v="Evento - T210 - Provisão de INSS de 13o. Salário - Mês , Janeiro , 47160 - Jurídico Imobiliário , 4701160"/>
    <n v="1159"/>
    <x v="0"/>
    <n v="47"/>
    <n v="1160"/>
    <x v="2"/>
    <n v="431.48"/>
  </r>
  <r>
    <x v="0"/>
    <x v="0"/>
    <n v="38001013001"/>
    <x v="1"/>
    <s v="Evento - T110 - Provisão de INSS de Férias - Mês , Janeiro , 47150 - Jurídico Corporativo , 4701150"/>
    <n v="1159"/>
    <x v="0"/>
    <n v="47"/>
    <n v="1150"/>
    <x v="0"/>
    <n v="-836.64"/>
  </r>
  <r>
    <x v="0"/>
    <x v="7"/>
    <n v="38001023002"/>
    <x v="16"/>
    <s v="Evento - T110 - Provisão de INSS de Férias - Mês , Janeiro , 47150 - Jurídico Corporativo , 4701150"/>
    <n v="1159"/>
    <x v="0"/>
    <n v="47"/>
    <n v="1150"/>
    <x v="0"/>
    <n v="836.64"/>
  </r>
  <r>
    <x v="0"/>
    <x v="0"/>
    <n v="38001013001"/>
    <x v="1"/>
    <s v="Evento - T110 - Provisão de INSS de Férias - Mês , Janeiro , 47159 - Diretoria Jurídica , 4701159"/>
    <n v="1159"/>
    <x v="0"/>
    <n v="47"/>
    <n v="1159"/>
    <x v="1"/>
    <n v="-650.35"/>
  </r>
  <r>
    <x v="0"/>
    <x v="7"/>
    <n v="38001023002"/>
    <x v="16"/>
    <s v="Evento - T110 - Provisão de INSS de Férias - Mês , Janeiro , 47159 - Diretoria Jurídica , 4701159"/>
    <n v="1159"/>
    <x v="0"/>
    <n v="47"/>
    <n v="1159"/>
    <x v="1"/>
    <n v="650.35"/>
  </r>
  <r>
    <x v="0"/>
    <x v="0"/>
    <n v="38001013001"/>
    <x v="1"/>
    <s v="Evento - T110 - Provisão de INSS de Férias - Mês , Janeiro , 47160 - Jurídico Imobiliário , 4701160"/>
    <n v="1159"/>
    <x v="0"/>
    <n v="47"/>
    <n v="1160"/>
    <x v="2"/>
    <n v="-643.55999999999995"/>
  </r>
  <r>
    <x v="0"/>
    <x v="7"/>
    <n v="38001023002"/>
    <x v="16"/>
    <s v="Evento - T110 - Provisão de INSS de Férias - Mês , Janeiro , 47160 - Jurídico Imobiliário , 4701160"/>
    <n v="1159"/>
    <x v="0"/>
    <n v="47"/>
    <n v="1160"/>
    <x v="2"/>
    <n v="643.55999999999995"/>
  </r>
  <r>
    <x v="0"/>
    <x v="0"/>
    <n v="38001013001"/>
    <x v="1"/>
    <s v="Evento - T210 - Provisão de INSS de 13o. Salário - Mês , Janeiro , 47150 - Jurídico Corporativo , 4701150"/>
    <n v="1159"/>
    <x v="0"/>
    <n v="47"/>
    <n v="1150"/>
    <x v="0"/>
    <n v="-511.58"/>
  </r>
  <r>
    <x v="0"/>
    <x v="8"/>
    <n v="38001025002"/>
    <x v="17"/>
    <s v="Evento - T210 - Provisão de INSS de 13o. Salário - Mês , Janeiro , 47150 - Jurídico Corporativo , 4701150"/>
    <n v="1159"/>
    <x v="0"/>
    <n v="47"/>
    <n v="1150"/>
    <x v="0"/>
    <n v="511.58"/>
  </r>
  <r>
    <x v="0"/>
    <x v="0"/>
    <n v="38001013001"/>
    <x v="1"/>
    <s v="Evento - T210 - Provisão de INSS de 13o. Salário - Mês , Janeiro , 47159 - Diretoria Jurídica , 4701159"/>
    <n v="1159"/>
    <x v="0"/>
    <n v="47"/>
    <n v="1159"/>
    <x v="1"/>
    <n v="-425.23"/>
  </r>
  <r>
    <x v="0"/>
    <x v="8"/>
    <n v="38001025002"/>
    <x v="17"/>
    <s v="Evento - T210 - Provisão de INSS de 13o. Salário - Mês , Janeiro , 47159 - Diretoria Jurídica , 4701159"/>
    <n v="1159"/>
    <x v="0"/>
    <n v="47"/>
    <n v="1159"/>
    <x v="1"/>
    <n v="425.23"/>
  </r>
  <r>
    <x v="0"/>
    <x v="0"/>
    <n v="38001013001"/>
    <x v="1"/>
    <s v="Evento - T210 - Provisão de INSS de 13o. Salário - Mês , Janeiro , 47160 - Jurídico Imobiliário , 4701160"/>
    <n v="1159"/>
    <x v="0"/>
    <n v="47"/>
    <n v="1160"/>
    <x v="2"/>
    <n v="-431.48"/>
  </r>
  <r>
    <x v="0"/>
    <x v="8"/>
    <n v="38001025002"/>
    <x v="17"/>
    <s v="Evento - T210 - Provisão de INSS de 13o. Salário - Mês , Janeiro , 47160 - Jurídico Imobiliário , 4701160"/>
    <n v="1159"/>
    <x v="0"/>
    <n v="47"/>
    <n v="1160"/>
    <x v="2"/>
    <n v="431.48"/>
  </r>
  <r>
    <x v="0"/>
    <x v="0"/>
    <n v="38001013001"/>
    <x v="1"/>
    <s v="Evento - 8030 - Assistência Médica , Janeiro , 47150 - Jurídico Corporativo , 4701150"/>
    <n v="1159"/>
    <x v="0"/>
    <n v="47"/>
    <n v="1150"/>
    <x v="0"/>
    <n v="-647.4"/>
  </r>
  <r>
    <x v="0"/>
    <x v="0"/>
    <n v="38001013001"/>
    <x v="1"/>
    <s v="Evento - 8086 - Assistência Médica Dependente , Janeiro , 47150 - Jurídico Corporativo , 4701150"/>
    <n v="1159"/>
    <x v="0"/>
    <n v="47"/>
    <n v="1150"/>
    <x v="0"/>
    <n v="-870.96"/>
  </r>
  <r>
    <x v="0"/>
    <x v="0"/>
    <n v="38001013002"/>
    <x v="0"/>
    <s v="Evento - 8030 - Assistência Médica , Janeiro , 47150 - Jurídico Corporativo , 4701150"/>
    <n v="1159"/>
    <x v="0"/>
    <n v="47"/>
    <n v="1150"/>
    <x v="0"/>
    <n v="647.4"/>
  </r>
  <r>
    <x v="0"/>
    <x v="0"/>
    <n v="38001013002"/>
    <x v="0"/>
    <s v="Evento - 8086 - Assistência Médica Dependente , Janeiro , 47150 - Jurídico Corporativo , 4701150"/>
    <n v="1159"/>
    <x v="0"/>
    <n v="47"/>
    <n v="1150"/>
    <x v="0"/>
    <n v="870.96"/>
  </r>
  <r>
    <x v="0"/>
    <x v="0"/>
    <n v="38001013001"/>
    <x v="1"/>
    <s v="Evento - 8030 - Assistência Médica , Janeiro , 47159 - Diretoria Jurídica , 4701159"/>
    <n v="1159"/>
    <x v="0"/>
    <n v="47"/>
    <n v="1159"/>
    <x v="1"/>
    <n v="-647.4"/>
  </r>
  <r>
    <x v="0"/>
    <x v="0"/>
    <n v="38001013002"/>
    <x v="0"/>
    <s v="Evento - 8030 - Assistência Médica , Janeiro , 47159 - Diretoria Jurídica , 4701159"/>
    <n v="1159"/>
    <x v="0"/>
    <n v="47"/>
    <n v="1159"/>
    <x v="1"/>
    <n v="647.4"/>
  </r>
  <r>
    <x v="0"/>
    <x v="0"/>
    <n v="38001013001"/>
    <x v="1"/>
    <s v="Evento - 8030 - Assistência Médica , Janeiro , 47160 - Jurídico Imobiliário , 4701160"/>
    <n v="1159"/>
    <x v="0"/>
    <n v="47"/>
    <n v="1160"/>
    <x v="2"/>
    <n v="-431.6"/>
  </r>
  <r>
    <x v="0"/>
    <x v="0"/>
    <n v="38001013001"/>
    <x v="1"/>
    <s v="Evento - 8086 - Assistência Médica Dependente , Janeiro , 47160 - Jurídico Imobiliário , 4701160"/>
    <n v="1159"/>
    <x v="0"/>
    <n v="47"/>
    <n v="1160"/>
    <x v="2"/>
    <n v="-655.16"/>
  </r>
  <r>
    <x v="0"/>
    <x v="0"/>
    <n v="38001013002"/>
    <x v="0"/>
    <s v="Evento - 8030 - Assistência Médica , Janeiro , 47160 - Jurídico Imobiliário , 4701160"/>
    <n v="1159"/>
    <x v="0"/>
    <n v="47"/>
    <n v="1160"/>
    <x v="2"/>
    <n v="431.6"/>
  </r>
  <r>
    <x v="0"/>
    <x v="0"/>
    <n v="38001013002"/>
    <x v="0"/>
    <s v="Evento - 8086 - Assistência Médica Dependente , Janeiro , 47160 - Jurídico Imobiliário , 4701160"/>
    <n v="1159"/>
    <x v="0"/>
    <n v="47"/>
    <n v="1160"/>
    <x v="2"/>
    <n v="655.16"/>
  </r>
  <r>
    <x v="0"/>
    <x v="0"/>
    <n v="38001013001"/>
    <x v="1"/>
    <s v="Evento - T120 - Provisão de FGTS de Férias - Mês , Janeiro , 47150 - Jurídico Corporativo , 4701150"/>
    <n v="1159"/>
    <x v="0"/>
    <n v="47"/>
    <n v="1150"/>
    <x v="0"/>
    <n v="-638.1"/>
  </r>
  <r>
    <x v="0"/>
    <x v="7"/>
    <n v="38001023004"/>
    <x v="18"/>
    <s v="Evento - T120 - Provisão de FGTS de Férias - Mês , Janeiro , 47150 - Jurídico Corporativo , 4701150"/>
    <n v="1159"/>
    <x v="0"/>
    <n v="47"/>
    <n v="1150"/>
    <x v="0"/>
    <n v="638.1"/>
  </r>
  <r>
    <x v="0"/>
    <x v="0"/>
    <n v="38001013001"/>
    <x v="1"/>
    <s v="Evento - T120 - Provisão de FGTS de Férias - Mês , Janeiro , 47159 - Diretoria Jurídica , 4701159"/>
    <n v="1159"/>
    <x v="0"/>
    <n v="47"/>
    <n v="1159"/>
    <x v="1"/>
    <n v="-530.4"/>
  </r>
  <r>
    <x v="0"/>
    <x v="7"/>
    <n v="38001023004"/>
    <x v="18"/>
    <s v="Evento - T120 - Provisão de FGTS de Férias - Mês , Janeiro , 47159 - Diretoria Jurídica , 4701159"/>
    <n v="1159"/>
    <x v="0"/>
    <n v="47"/>
    <n v="1159"/>
    <x v="1"/>
    <n v="530.4"/>
  </r>
  <r>
    <x v="0"/>
    <x v="0"/>
    <n v="38001013001"/>
    <x v="1"/>
    <s v="Evento - T120 - Provisão de FGTS de Férias - Mês , Janeiro , 47160 - Jurídico Imobiliário , 4701160"/>
    <n v="1159"/>
    <x v="0"/>
    <n v="47"/>
    <n v="1160"/>
    <x v="2"/>
    <n v="-538.19000000000005"/>
  </r>
  <r>
    <x v="0"/>
    <x v="7"/>
    <n v="38001023004"/>
    <x v="18"/>
    <s v="Evento - T120 - Provisão de FGTS de Férias - Mês , Janeiro , 47160 - Jurídico Imobiliário , 4701160"/>
    <n v="1159"/>
    <x v="0"/>
    <n v="47"/>
    <n v="1160"/>
    <x v="2"/>
    <n v="538.19000000000005"/>
  </r>
  <r>
    <x v="0"/>
    <x v="0"/>
    <n v="38001013002"/>
    <x v="0"/>
    <s v="EVENTO B510  FGTS 13o. Salário"/>
    <n v="1159"/>
    <x v="0"/>
    <n v="47"/>
    <n v="1150"/>
    <x v="0"/>
    <n v="-3269.92"/>
  </r>
  <r>
    <x v="0"/>
    <x v="8"/>
    <n v="38001025004"/>
    <x v="19"/>
    <s v="EVENTO B510  FGTS 13o. Salário"/>
    <n v="1159"/>
    <x v="0"/>
    <n v="47"/>
    <n v="1150"/>
    <x v="0"/>
    <n v="3269.92"/>
  </r>
  <r>
    <x v="0"/>
    <x v="0"/>
    <n v="38001013002"/>
    <x v="0"/>
    <s v="EVENTO B510  FGTS 13o. Salário"/>
    <n v="1159"/>
    <x v="0"/>
    <n v="47"/>
    <n v="1159"/>
    <x v="1"/>
    <n v="-18.760000000000002"/>
  </r>
  <r>
    <x v="0"/>
    <x v="8"/>
    <n v="38001025004"/>
    <x v="19"/>
    <s v="EVENTO B510  FGTS 13o. Salário"/>
    <n v="1159"/>
    <x v="0"/>
    <n v="47"/>
    <n v="1159"/>
    <x v="1"/>
    <n v="18.760000000000002"/>
  </r>
  <r>
    <x v="0"/>
    <x v="0"/>
    <n v="38001013002"/>
    <x v="0"/>
    <s v="EVENTO B510  FGTS 13o. Salário"/>
    <n v="1159"/>
    <x v="0"/>
    <n v="47"/>
    <n v="1160"/>
    <x v="2"/>
    <n v="-1571.64"/>
  </r>
  <r>
    <x v="0"/>
    <x v="8"/>
    <n v="38001025004"/>
    <x v="19"/>
    <s v="EVENTO B510  FGTS 13o. Salário"/>
    <n v="1159"/>
    <x v="0"/>
    <n v="47"/>
    <n v="1160"/>
    <x v="2"/>
    <n v="1571.64"/>
  </r>
  <r>
    <x v="0"/>
    <x v="0"/>
    <n v="38001013001"/>
    <x v="1"/>
    <s v="Evento - T220 - Provisão de FGTS de 13o. Salário  - Mês , Janeiro , 47150 - Jurídico Corporativo , 4701150"/>
    <n v="1159"/>
    <x v="0"/>
    <n v="47"/>
    <n v="1150"/>
    <x v="0"/>
    <n v="-478.6"/>
  </r>
  <r>
    <x v="0"/>
    <x v="8"/>
    <n v="38001025004"/>
    <x v="19"/>
    <s v="Evento - T220 - Provisão de FGTS de 13o. Salário  - Mês , Janeiro , 47150 - Jurídico Corporativo , 4701150"/>
    <n v="1159"/>
    <x v="0"/>
    <n v="47"/>
    <n v="1150"/>
    <x v="0"/>
    <n v="478.6"/>
  </r>
  <r>
    <x v="0"/>
    <x v="0"/>
    <n v="38001013001"/>
    <x v="1"/>
    <s v="Evento - T220 - Provisão de FGTS de 13o. Salário  - Mês , Janeiro , 47159 - Diretoria Jurídica , 4701159"/>
    <n v="1159"/>
    <x v="0"/>
    <n v="47"/>
    <n v="1159"/>
    <x v="1"/>
    <n v="-397.8"/>
  </r>
  <r>
    <x v="0"/>
    <x v="8"/>
    <n v="38001025004"/>
    <x v="19"/>
    <s v="Evento - T220 - Provisão de FGTS de 13o. Salário  - Mês , Janeiro , 47159 - Diretoria Jurídica , 4701159"/>
    <n v="1159"/>
    <x v="0"/>
    <n v="47"/>
    <n v="1159"/>
    <x v="1"/>
    <n v="397.8"/>
  </r>
  <r>
    <x v="0"/>
    <x v="0"/>
    <n v="38001013001"/>
    <x v="1"/>
    <s v="Evento - T220 - Provisão de FGTS de 13o. Salário  - Mês , Janeiro , 47160 - Jurídico Imobiliário , 4701160"/>
    <n v="1159"/>
    <x v="0"/>
    <n v="47"/>
    <n v="1160"/>
    <x v="2"/>
    <n v="-403.64"/>
  </r>
  <r>
    <x v="0"/>
    <x v="8"/>
    <n v="38001025004"/>
    <x v="19"/>
    <s v="Evento - T220 - Provisão de FGTS de 13o. Salário  - Mês , Janeiro , 47160 - Jurídico Imobiliário , 4701160"/>
    <n v="1159"/>
    <x v="0"/>
    <n v="47"/>
    <n v="1160"/>
    <x v="2"/>
    <n v="403.64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50"/>
    <x v="0"/>
    <n v="-1650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50"/>
    <x v="0"/>
    <n v="-8800"/>
  </r>
  <r>
    <x v="0"/>
    <x v="1"/>
    <n v="38001027008"/>
    <x v="15"/>
    <s v="Item Despesa, NF: 91017932 , Fornecedor: VR BENEFICIOS E SERVICOS DE PROCESSAMENTO S.A - 02535864000133 , Desc NF: Ticket #296561 BAIXA  , Método Pgmto: BR_BOLETO"/>
    <n v="1159"/>
    <x v="0"/>
    <n v="47"/>
    <n v="1150"/>
    <x v="0"/>
    <n v="1650"/>
  </r>
  <r>
    <x v="0"/>
    <x v="1"/>
    <n v="38001027008"/>
    <x v="15"/>
    <s v="Item Despesa, NF: 91017931 , Fornecedor: VR BENEFICIOS E SERVICOS DE PROCESSAMENTO S.A - 02535864000133 , Desc NF: Ticket #296562 BAIXA , Método Pgmto: BR_BOLETO"/>
    <n v="1159"/>
    <x v="0"/>
    <n v="47"/>
    <n v="1150"/>
    <x v="0"/>
    <n v="8800"/>
  </r>
  <r>
    <x v="0"/>
    <x v="0"/>
    <n v="38001013001"/>
    <x v="1"/>
    <s v="Evento - T100 - Provisão de Férias - Mês , Janeiro , 47150 - Jurídico Corporativo , 4701150"/>
    <n v="1159"/>
    <x v="0"/>
    <n v="47"/>
    <n v="1150"/>
    <x v="0"/>
    <n v="-7976.39"/>
  </r>
  <r>
    <x v="0"/>
    <x v="7"/>
    <n v="38001023001"/>
    <x v="20"/>
    <s v="Evento - T100 - Provisão de Férias - Mês , Janeiro , 47150 - Jurídico Corporativo , 4701150"/>
    <n v="1159"/>
    <x v="0"/>
    <n v="47"/>
    <n v="1150"/>
    <x v="0"/>
    <n v="7976.39"/>
  </r>
  <r>
    <x v="0"/>
    <x v="0"/>
    <n v="38001013001"/>
    <x v="1"/>
    <s v="Evento - 1510 - Insuficiência de Saldo , Janeiro , 47150 - Jurídico Corporativo , 4701150"/>
    <n v="1159"/>
    <x v="0"/>
    <n v="47"/>
    <n v="1150"/>
    <x v="0"/>
    <n v="0.67"/>
  </r>
  <r>
    <x v="0"/>
    <x v="0"/>
    <n v="38001013001"/>
    <x v="1"/>
    <s v="Evento - 0001 - Salário , Janeiro , 47150 - Jurídico Corporativo , 4701150"/>
    <n v="1159"/>
    <x v="0"/>
    <n v="47"/>
    <n v="1150"/>
    <x v="0"/>
    <n v="53133.31"/>
  </r>
  <r>
    <x v="0"/>
    <x v="0"/>
    <n v="38001013001"/>
    <x v="1"/>
    <s v="Evento - 7010 - Insuficiência de Saldo , Janeiro , 47150 - Jurídico Corporativo , 4701150"/>
    <n v="1159"/>
    <x v="0"/>
    <n v="47"/>
    <n v="1150"/>
    <x v="0"/>
    <n v="-0.67"/>
  </r>
  <r>
    <x v="0"/>
    <x v="0"/>
    <n v="38001013002"/>
    <x v="0"/>
    <s v="Evento - 7010 - Insuficiência de Saldo , Janeiro , 47150 - Jurídico Corporativo , 4701150"/>
    <n v="1159"/>
    <x v="0"/>
    <n v="47"/>
    <n v="1150"/>
    <x v="0"/>
    <n v="0.67"/>
  </r>
  <r>
    <x v="0"/>
    <x v="0"/>
    <n v="38001013002"/>
    <x v="0"/>
    <s v="Evento - 1510 - Insuficiência de Saldo , Janeiro , 47150 - Jurídico Corporativo , 4701150"/>
    <n v="1159"/>
    <x v="0"/>
    <n v="47"/>
    <n v="1150"/>
    <x v="0"/>
    <n v="-0.67"/>
  </r>
  <r>
    <x v="0"/>
    <x v="0"/>
    <n v="38001013002"/>
    <x v="0"/>
    <s v="Evento - 0001 - Salário , Janeiro , 47150 - Jurídico Corporativo , 4701150"/>
    <n v="1159"/>
    <x v="0"/>
    <n v="47"/>
    <n v="1150"/>
    <x v="0"/>
    <n v="-53133.31"/>
  </r>
  <r>
    <x v="0"/>
    <x v="0"/>
    <n v="38001013001"/>
    <x v="1"/>
    <s v="Evento - 0001 - Salário , Janeiro , 47159 - Diretoria Jurídica , 4701159"/>
    <n v="1159"/>
    <x v="0"/>
    <n v="47"/>
    <n v="1159"/>
    <x v="1"/>
    <n v="59670.559999999998"/>
  </r>
  <r>
    <x v="0"/>
    <x v="0"/>
    <n v="38001013002"/>
    <x v="0"/>
    <s v="Evento - 0001 - Salário , Janeiro , 47159 - Diretoria Jurídica , 4701159"/>
    <n v="1159"/>
    <x v="0"/>
    <n v="47"/>
    <n v="1159"/>
    <x v="1"/>
    <n v="-59670.559999999998"/>
  </r>
  <r>
    <x v="0"/>
    <x v="0"/>
    <n v="38001013001"/>
    <x v="1"/>
    <s v="Evento - 0001 - Salário , Janeiro , 47160 - Jurídico Imobiliário , 4701160"/>
    <n v="1159"/>
    <x v="0"/>
    <n v="47"/>
    <n v="1160"/>
    <x v="2"/>
    <n v="54464.12"/>
  </r>
  <r>
    <x v="0"/>
    <x v="0"/>
    <n v="38001013002"/>
    <x v="0"/>
    <s v="Evento - 0001 - Salário , Janeiro , 47160 - Jurídico Imobiliário , 4701160"/>
    <n v="1159"/>
    <x v="0"/>
    <n v="47"/>
    <n v="1160"/>
    <x v="2"/>
    <n v="-54464.12"/>
  </r>
  <r>
    <x v="0"/>
    <x v="0"/>
    <n v="38001013001"/>
    <x v="1"/>
    <s v="Evento - T100 - Provisão de Férias - Mês , Janeiro , 47159 - Diretoria Jurídica , 4701159"/>
    <n v="1159"/>
    <x v="0"/>
    <n v="47"/>
    <n v="1159"/>
    <x v="1"/>
    <n v="-6630.07"/>
  </r>
  <r>
    <x v="0"/>
    <x v="7"/>
    <n v="38001023001"/>
    <x v="20"/>
    <s v="Evento - T100 - Provisão de Férias - Mês , Janeiro , 47159 - Diretoria Jurídica , 4701159"/>
    <n v="1159"/>
    <x v="0"/>
    <n v="47"/>
    <n v="1159"/>
    <x v="1"/>
    <n v="6630.07"/>
  </r>
  <r>
    <x v="0"/>
    <x v="0"/>
    <n v="38001013001"/>
    <x v="1"/>
    <s v="Evento - T100 - Provisão de Férias - Mês , Janeiro , 47160 - Jurídico Imobiliário , 4701160"/>
    <n v="1159"/>
    <x v="0"/>
    <n v="47"/>
    <n v="1160"/>
    <x v="2"/>
    <n v="-6727.47"/>
  </r>
  <r>
    <x v="0"/>
    <x v="7"/>
    <n v="38001023001"/>
    <x v="20"/>
    <s v="Evento - T100 - Provisão de Férias - Mês , Janeiro , 47160 - Jurídico Imobiliário , 4701160"/>
    <n v="1159"/>
    <x v="0"/>
    <n v="47"/>
    <n v="1160"/>
    <x v="2"/>
    <n v="6727.47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59"/>
    <x v="1"/>
    <n v="-3810.4"/>
  </r>
  <r>
    <x v="0"/>
    <x v="1"/>
    <n v="38001027008"/>
    <x v="15"/>
    <s v="Item Despesa, NF: 91017931 , Fornecedor: VR BENEFICIOS E SERVICOS DE PROCESSAMENTO S.A - 02535864000133 , Desc NF: Ticket #296562 BAIXA , Método Pgmto: BR_BOLETO"/>
    <n v="1159"/>
    <x v="0"/>
    <n v="47"/>
    <n v="1159"/>
    <x v="1"/>
    <n v="3810.4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60"/>
    <x v="2"/>
    <n v="-1650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60"/>
    <x v="2"/>
    <n v="-6160"/>
  </r>
  <r>
    <x v="0"/>
    <x v="1"/>
    <n v="38001027008"/>
    <x v="15"/>
    <s v="Item Despesa, NF: 91017932 , Fornecedor: VR BENEFICIOS E SERVICOS DE PROCESSAMENTO S.A - 02535864000133 , Desc NF: Ticket #296561 BAIXA  , Método Pgmto: BR_BOLETO"/>
    <n v="1159"/>
    <x v="0"/>
    <n v="47"/>
    <n v="1160"/>
    <x v="2"/>
    <n v="1650"/>
  </r>
  <r>
    <x v="0"/>
    <x v="1"/>
    <n v="38001027008"/>
    <x v="15"/>
    <s v="Item Despesa, NF: 91017931 , Fornecedor: VR BENEFICIOS E SERVICOS DE PROCESSAMENTO S.A - 02535864000133 , Desc NF: Ticket #296562 BAIXA , Método Pgmto: BR_BOLETO"/>
    <n v="1159"/>
    <x v="0"/>
    <n v="47"/>
    <n v="1160"/>
    <x v="2"/>
    <n v="6160"/>
  </r>
  <r>
    <x v="0"/>
    <x v="0"/>
    <n v="38001013002"/>
    <x v="0"/>
    <s v="Evento - B410 - FGTS Salário , Janeiro , 47150 - Jurídico Corporativo , 4701150"/>
    <n v="1159"/>
    <x v="0"/>
    <n v="47"/>
    <n v="1150"/>
    <x v="0"/>
    <n v="-6240.41"/>
  </r>
  <r>
    <x v="0"/>
    <x v="0"/>
    <n v="38001013004"/>
    <x v="21"/>
    <s v="Evento - B410 - FGTS Salário , Janeiro , 47150 - Jurídico Corporativo , 4701150"/>
    <n v="1159"/>
    <x v="0"/>
    <n v="47"/>
    <n v="1150"/>
    <x v="0"/>
    <n v="6240.41"/>
  </r>
  <r>
    <x v="0"/>
    <x v="0"/>
    <n v="38001013002"/>
    <x v="0"/>
    <s v="Evento - B410 - FGTS Salário , Janeiro , 47159 - Diretoria Jurídica , 4701159"/>
    <n v="1159"/>
    <x v="0"/>
    <n v="47"/>
    <n v="1159"/>
    <x v="1"/>
    <n v="-4773.63"/>
  </r>
  <r>
    <x v="0"/>
    <x v="0"/>
    <n v="38001013004"/>
    <x v="21"/>
    <s v="Evento - B410 - FGTS Salário , Janeiro , 47159 - Diretoria Jurídica , 4701159"/>
    <n v="1159"/>
    <x v="0"/>
    <n v="47"/>
    <n v="1159"/>
    <x v="1"/>
    <n v="4773.63"/>
  </r>
  <r>
    <x v="0"/>
    <x v="0"/>
    <n v="38001013002"/>
    <x v="0"/>
    <s v="Evento - B410 - FGTS Salário , Janeiro , 47160 - Jurídico Imobiliário , 4701160"/>
    <n v="1159"/>
    <x v="0"/>
    <n v="47"/>
    <n v="1160"/>
    <x v="2"/>
    <n v="-5005.93"/>
  </r>
  <r>
    <x v="0"/>
    <x v="0"/>
    <n v="38001013004"/>
    <x v="21"/>
    <s v="Evento - B410 - FGTS Salário , Janeiro , 47160 - Jurídico Imobiliário , 4701160"/>
    <n v="1159"/>
    <x v="0"/>
    <n v="47"/>
    <n v="1160"/>
    <x v="2"/>
    <n v="5005.93"/>
  </r>
  <r>
    <x v="0"/>
    <x v="0"/>
    <n v="38001013001"/>
    <x v="1"/>
    <s v="Evento - T200 - Provisão de 13o. Salário - Mês , Janeiro , 47150 - Jurídico Corporativo , 4701150"/>
    <n v="1159"/>
    <x v="0"/>
    <n v="47"/>
    <n v="1150"/>
    <x v="0"/>
    <n v="-5982.31"/>
  </r>
  <r>
    <x v="0"/>
    <x v="8"/>
    <n v="38001025001"/>
    <x v="22"/>
    <s v="Evento - T200 - Provisão de 13o. Salário - Mês , Janeiro , 47150 - Jurídico Corporativo , 4701150"/>
    <n v="1159"/>
    <x v="0"/>
    <n v="47"/>
    <n v="1150"/>
    <x v="0"/>
    <n v="5982.31"/>
  </r>
  <r>
    <x v="0"/>
    <x v="0"/>
    <n v="38001013001"/>
    <x v="1"/>
    <s v="Evento - T200 - Provisão de 13o. Salário - Mês , Janeiro , 47159 - Diretoria Jurídica , 4701159"/>
    <n v="1159"/>
    <x v="0"/>
    <n v="47"/>
    <n v="1159"/>
    <x v="1"/>
    <n v="-4972.55"/>
  </r>
  <r>
    <x v="0"/>
    <x v="8"/>
    <n v="38001025001"/>
    <x v="22"/>
    <s v="Evento - T200 - Provisão de 13o. Salário - Mês , Janeiro , 47159 - Diretoria Jurídica , 4701159"/>
    <n v="1159"/>
    <x v="0"/>
    <n v="47"/>
    <n v="1159"/>
    <x v="1"/>
    <n v="4972.55"/>
  </r>
  <r>
    <x v="0"/>
    <x v="0"/>
    <n v="38001013001"/>
    <x v="1"/>
    <s v="Evento - T200 - Provisão de 13o. Salário - Mês , Janeiro , 47160 - Jurídico Imobiliário , 4701160"/>
    <n v="1159"/>
    <x v="0"/>
    <n v="47"/>
    <n v="1160"/>
    <x v="2"/>
    <n v="-5045.59"/>
  </r>
  <r>
    <x v="0"/>
    <x v="8"/>
    <n v="38001025001"/>
    <x v="22"/>
    <s v="Evento - T200 - Provisão de 13o. Salário - Mês , Janeiro , 47160 - Jurídico Imobiliário , 4701160"/>
    <n v="1159"/>
    <x v="0"/>
    <n v="47"/>
    <n v="1160"/>
    <x v="2"/>
    <n v="5045.59"/>
  </r>
  <r>
    <x v="0"/>
    <x v="0"/>
    <n v="38001013001"/>
    <x v="1"/>
    <s v="Evento - 5725 - Vale Transporte , Janeiro , 47150 - Jurídico Corporativo , 4701150"/>
    <n v="1159"/>
    <x v="0"/>
    <n v="47"/>
    <n v="1150"/>
    <x v="0"/>
    <n v="-279.60000000000002"/>
  </r>
  <r>
    <x v="0"/>
    <x v="0"/>
    <n v="38001013002"/>
    <x v="0"/>
    <s v="Evento - 5725 - Vale Transporte , Janeiro , 47150 - Jurídico Corporativo , 4701150"/>
    <n v="1159"/>
    <x v="0"/>
    <n v="47"/>
    <n v="1150"/>
    <x v="0"/>
    <n v="279.60000000000002"/>
  </r>
  <r>
    <x v="0"/>
    <x v="0"/>
    <n v="38001013002"/>
    <x v="0"/>
    <s v="EVENTO B510  FGTS 13o. Salário"/>
    <n v="1159"/>
    <x v="0"/>
    <n v="47"/>
    <n v="1150"/>
    <x v="0"/>
    <n v="3269.92"/>
  </r>
  <r>
    <x v="0"/>
    <x v="0"/>
    <n v="38001013002"/>
    <x v="0"/>
    <s v="EVENTO B510  FGTS 13o. Salário"/>
    <n v="1159"/>
    <x v="0"/>
    <n v="47"/>
    <n v="1159"/>
    <x v="1"/>
    <n v="18.760000000000002"/>
  </r>
  <r>
    <x v="0"/>
    <x v="0"/>
    <n v="38001013002"/>
    <x v="0"/>
    <s v="EVENTO B510  FGTS 13o. Salário"/>
    <n v="1159"/>
    <x v="0"/>
    <n v="47"/>
    <n v="1160"/>
    <x v="2"/>
    <n v="1571.64"/>
  </r>
  <r>
    <x v="0"/>
    <x v="0"/>
    <n v="38001013001"/>
    <x v="1"/>
    <s v="Evento - 5530 - Contribuição Assistencial , Janeiro , 47150 - Jurídico Corporativo , 4701150"/>
    <n v="1159"/>
    <x v="0"/>
    <n v="47"/>
    <n v="1150"/>
    <x v="0"/>
    <n v="-131.46"/>
  </r>
  <r>
    <x v="0"/>
    <x v="0"/>
    <n v="38001013002"/>
    <x v="0"/>
    <s v="Evento - 5530 - Contribuição Assistencial , Janeiro , 47150 - Jurídico Corporativo , 4701150"/>
    <n v="1159"/>
    <x v="0"/>
    <n v="47"/>
    <n v="1150"/>
    <x v="0"/>
    <n v="131.46"/>
  </r>
  <r>
    <x v="0"/>
    <x v="0"/>
    <n v="38001013001"/>
    <x v="1"/>
    <s v="Evento - 5530 - Contribuição Assistencial , Janeiro , 47159 - Diretoria Jurídica , 4701159"/>
    <n v="1159"/>
    <x v="0"/>
    <n v="47"/>
    <n v="1159"/>
    <x v="1"/>
    <n v="-46.3"/>
  </r>
  <r>
    <x v="0"/>
    <x v="0"/>
    <n v="38001013002"/>
    <x v="0"/>
    <s v="Evento - 5530 - Contribuição Assistencial , Janeiro , 47159 - Diretoria Jurídica , 4701159"/>
    <n v="1159"/>
    <x v="0"/>
    <n v="47"/>
    <n v="1159"/>
    <x v="1"/>
    <n v="46.3"/>
  </r>
  <r>
    <x v="0"/>
    <x v="0"/>
    <n v="38001013001"/>
    <x v="1"/>
    <s v="Evento - 5530 - Contribuição Assistencial , Janeiro , 47160 - Jurídico Imobiliário , 4701160"/>
    <n v="1159"/>
    <x v="0"/>
    <n v="47"/>
    <n v="1160"/>
    <x v="2"/>
    <n v="-24.02"/>
  </r>
  <r>
    <x v="0"/>
    <x v="0"/>
    <n v="38001013002"/>
    <x v="0"/>
    <s v="Evento - 5530 - Contribuição Assistencial , Janeiro , 47160 - Jurídico Imobiliário , 4701160"/>
    <n v="1159"/>
    <x v="0"/>
    <n v="47"/>
    <n v="1160"/>
    <x v="2"/>
    <n v="24.02"/>
  </r>
  <r>
    <x v="0"/>
    <x v="3"/>
    <n v="38001011002"/>
    <x v="4"/>
    <s v="Item Despesa, NF: 764 , Fornecedor: RIBEIRO PINTO ADVOGADOS ASSOCIADOS - 04612076000129 , Desc NF: Ticket 299008 , Método Pgmto: BR_EFT"/>
    <n v="1159"/>
    <x v="0"/>
    <n v="47"/>
    <n v="1150"/>
    <x v="0"/>
    <n v="21809.91"/>
  </r>
  <r>
    <x v="0"/>
    <x v="3"/>
    <n v="38001011002"/>
    <x v="4"/>
    <s v="Item Despesa, NF: 763 , Fornecedor: RIBEIRO PINTO ADVOGADOS ASSOCIADOS - 04612076000129 , Desc NF: Ticket 299006 , Método Pgmto: BR_EFT"/>
    <n v="1159"/>
    <x v="0"/>
    <n v="47"/>
    <n v="1150"/>
    <x v="0"/>
    <n v="43926.239999999998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50"/>
    <x v="0"/>
    <n v="8800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59"/>
    <x v="1"/>
    <n v="3810.4"/>
  </r>
  <r>
    <x v="0"/>
    <x v="0"/>
    <n v="38001013002"/>
    <x v="0"/>
    <s v="Item Despesa, NF: 91017931 , Fornecedor: VR BENEFICIOS E SERVICOS DE PROCESSAMENTO S.A - 02535864000133 , Desc NF: Ticket #296562 BAIXA , Método Pgmto: BR_BOLETO"/>
    <n v="1159"/>
    <x v="0"/>
    <n v="47"/>
    <n v="1160"/>
    <x v="2"/>
    <n v="6160"/>
  </r>
  <r>
    <x v="0"/>
    <x v="3"/>
    <n v="38001011003"/>
    <x v="14"/>
    <s v="Item Despesa, NF: 203781 , Fornecedor: MATTOS FILHO, VEIGA FILHO, MARREY JR. E QUIROGA ADVOGADOS - 67003673000176 , Desc NF: - Ticket #299754 , Método Pgmto: BR_BOLETO"/>
    <n v="1159"/>
    <x v="0"/>
    <n v="47"/>
    <n v="1150"/>
    <x v="0"/>
    <n v="3305.79"/>
  </r>
  <r>
    <x v="0"/>
    <x v="4"/>
    <n v="38001019001"/>
    <x v="23"/>
    <s v="Item Despesa, NF: 299853 , Fornecedor: ITAU UNIBANCO HOLDING S.A. - 60872504000123 , Desc NF: Ticket #299853 , Método Pgmto: BR_BOLETO"/>
    <n v="1159"/>
    <x v="0"/>
    <n v="47"/>
    <n v="1159"/>
    <x v="1"/>
    <n v="322"/>
  </r>
  <r>
    <x v="0"/>
    <x v="3"/>
    <n v="38001011004"/>
    <x v="5"/>
    <s v="Item Despesa, NF: 299367 , Fornecedor: VICTOR VASCONCELOS MIRANDA - 07203917410 , Desc NF: TICKET 299367 , Método Pgmto: BR_EFT"/>
    <n v="1159"/>
    <x v="0"/>
    <n v="47"/>
    <n v="1159"/>
    <x v="1"/>
    <n v="165.39"/>
  </r>
  <r>
    <x v="0"/>
    <x v="5"/>
    <n v="38001002001"/>
    <x v="7"/>
    <s v="Item Despesa, NF: 299916 , Fornecedor: 30 TABELIÃO DE NOTAS DA CAPITAL - 45576691000104 , Desc NF: TICKET 299916 , Método Pgmto: BR_EFT"/>
    <n v="1159"/>
    <x v="0"/>
    <n v="47"/>
    <n v="1160"/>
    <x v="2"/>
    <n v="656.36"/>
  </r>
  <r>
    <x v="0"/>
    <x v="5"/>
    <n v="38001002001"/>
    <x v="7"/>
    <s v="Item Despesa, NF: 35619 , Fornecedor: R.P.D. - DOCUMENTOS, APOIO EMPRESARIAL E NEGOCIOS LTDA - 23522710000187 , Desc NF: Ticket #300039 , Método Pgmto: BR_BOLETO"/>
    <n v="1159"/>
    <x v="0"/>
    <n v="47"/>
    <n v="1160"/>
    <x v="2"/>
    <n v="6883.07"/>
  </r>
  <r>
    <x v="0"/>
    <x v="3"/>
    <n v="38001011004"/>
    <x v="5"/>
    <s v="Item Despesa, NF: 237756 , Fornecedor: LUZ PUBLICIDADE SP SUL LTDA - 50750298000125 , Desc NF: Ticket 298326 , Método Pgmto: BR_EFT"/>
    <n v="1159"/>
    <x v="0"/>
    <n v="47"/>
    <n v="1150"/>
    <x v="0"/>
    <n v="2700"/>
  </r>
  <r>
    <x v="0"/>
    <x v="9"/>
    <n v="38001001004"/>
    <x v="24"/>
    <s v="Item Despesa, NF: 14546 , Fornecedor: SERASA S.A. - 62173620009306 , Desc NF: Ticket 298575 , Método Pgmto: BR_BOLETO"/>
    <n v="1159"/>
    <x v="0"/>
    <n v="47"/>
    <n v="1150"/>
    <x v="0"/>
    <n v="2515.48"/>
  </r>
  <r>
    <x v="0"/>
    <x v="9"/>
    <n v="38001001004"/>
    <x v="24"/>
    <s v="Item Despesa, NF: 14528 , Fornecedor: SERASA S.A. - 62173620009306 , Desc NF: Ticket 298577 , Método Pgmto: BR_BOLETO"/>
    <n v="1159"/>
    <x v="0"/>
    <n v="47"/>
    <n v="1150"/>
    <x v="0"/>
    <n v="6878.08"/>
  </r>
  <r>
    <x v="0"/>
    <x v="9"/>
    <n v="38001001004"/>
    <x v="24"/>
    <s v="Item Despesa, NF: 14546 , Fornecedor: SERASA S.A. - 62173620009306 , Desc NF: Ticket 298575 , Método Pgmto: BR_BOLETO"/>
    <n v="1159"/>
    <x v="0"/>
    <n v="47"/>
    <n v="1160"/>
    <x v="2"/>
    <n v="1570.69"/>
  </r>
  <r>
    <x v="0"/>
    <x v="5"/>
    <n v="38001002001"/>
    <x v="7"/>
    <s v="Item Despesa, NF: 3941397917 , Fornecedor: 30 TABELIÃO DE NOTAS DA CAPITAL - 45576691000104 , Desc NF: 3941397917 , Método Pgmto: BR_EFT"/>
    <n v="1159"/>
    <x v="0"/>
    <n v="47"/>
    <n v="1160"/>
    <x v="2"/>
    <n v="55.78"/>
  </r>
  <r>
    <x v="0"/>
    <x v="1"/>
    <n v="38001027004"/>
    <x v="25"/>
    <s v="Item Despesa, NF: 610401726018283288 , Fornecedor: SUL AMERICA ODONTOLOGICO S.A - 11973134000105 , Desc NF:  Ticket #300051 , Método Pgmto: BR_BOLETO"/>
    <n v="1159"/>
    <x v="0"/>
    <n v="47"/>
    <n v="1150"/>
    <x v="0"/>
    <n v="461.76"/>
  </r>
  <r>
    <x v="0"/>
    <x v="1"/>
    <n v="38001027004"/>
    <x v="25"/>
    <s v="Item Despesa, NF: 610401726018283288 , Fornecedor: SUL AMERICA ODONTOLOGICO S.A - 11973134000105 , Desc NF:  Ticket #300051 , Método Pgmto: BR_BOLETO"/>
    <n v="1159"/>
    <x v="0"/>
    <n v="47"/>
    <n v="1159"/>
    <x v="1"/>
    <n v="173.16"/>
  </r>
  <r>
    <x v="0"/>
    <x v="1"/>
    <n v="38001027004"/>
    <x v="25"/>
    <s v="Item Despesa, NF: 610401726018283288 , Fornecedor: SUL AMERICA ODONTOLOGICO S.A - 11973134000105 , Desc NF:  Ticket #300051 , Método Pgmto: BR_BOLETO"/>
    <n v="1159"/>
    <x v="0"/>
    <n v="47"/>
    <n v="1160"/>
    <x v="2"/>
    <n v="259.74"/>
  </r>
  <r>
    <x v="0"/>
    <x v="3"/>
    <n v="38001011004"/>
    <x v="5"/>
    <s v="Item Despesa, NF: 260 , Fornecedor: CONTATO DIARIO LTDA - 03501722000118 , Desc NF: Ticket #297439 , Método Pgmto: BR_EFT"/>
    <n v="1159"/>
    <x v="0"/>
    <n v="47"/>
    <n v="1150"/>
    <x v="0"/>
    <n v="200"/>
  </r>
  <r>
    <x v="0"/>
    <x v="3"/>
    <n v="38001011004"/>
    <x v="5"/>
    <s v="Item Despesa, NF: 296699 , Fornecedor: NATHALIA CAROLINE CORREIA GARCIA - 36243676846 , Desc NF: Ticket #296699 - Ref. Reembolso  Pagamento das NF (01/10, 31/10 e 30/11) ref. a plataforma jurídica - JUSBRASIL , Método Pgmto: BR_EFT"/>
    <n v="1159"/>
    <x v="0"/>
    <n v="47"/>
    <n v="1150"/>
    <x v="0"/>
    <n v="176.7"/>
  </r>
  <r>
    <x v="0"/>
    <x v="4"/>
    <n v="38001019001"/>
    <x v="23"/>
    <s v="Item Despesa, NF: 107474 , Fornecedor: VOLL S.A. - 09306896000106 , Desc NF: Ticket 298989 , Método Pgmto: BR_BOLETO"/>
    <n v="1159"/>
    <x v="0"/>
    <n v="47"/>
    <n v="1159"/>
    <x v="1"/>
    <n v="2091.4299999999998"/>
  </r>
  <r>
    <x v="0"/>
    <x v="4"/>
    <n v="38001019002"/>
    <x v="26"/>
    <s v="Item Despesa, NF: 107474 , Fornecedor: VOLL S.A. - 09306896000106 , Desc NF: Ticket 298989 , Método Pgmto: BR_BOLETO"/>
    <n v="1159"/>
    <x v="0"/>
    <n v="47"/>
    <n v="1159"/>
    <x v="1"/>
    <n v="13282.22"/>
  </r>
  <r>
    <x v="0"/>
    <x v="4"/>
    <n v="38001019003"/>
    <x v="27"/>
    <s v="Item Despesa, NF: 107474 , Fornecedor: VOLL S.A. - 09306896000106 , Desc NF: Ticket 298989 , Método Pgmto: BR_BOLETO"/>
    <n v="1159"/>
    <x v="0"/>
    <n v="47"/>
    <n v="1159"/>
    <x v="1"/>
    <n v="408.39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50"/>
    <x v="0"/>
    <n v="1650"/>
  </r>
  <r>
    <x v="0"/>
    <x v="0"/>
    <n v="38001013002"/>
    <x v="0"/>
    <s v="Item Despesa, NF: 91017932 , Fornecedor: VR BENEFICIOS E SERVICOS DE PROCESSAMENTO S.A - 02535864000133 , Desc NF: Ticket #296561 BAIXA  , Método Pgmto: BR_BOLETO"/>
    <n v="1159"/>
    <x v="0"/>
    <n v="47"/>
    <n v="1160"/>
    <x v="2"/>
    <n v="1650"/>
  </r>
  <r>
    <x v="0"/>
    <x v="1"/>
    <n v="38001027003"/>
    <x v="28"/>
    <s v="Item Despesa, NF: 65964282766370 , Fornecedor: SUL AMERICA COMPANHIA DE SEGURO SAUDE - 01685053000156 , Desc NF: Ticket #300053 , Método Pgmto: BR_BOLETO"/>
    <n v="1159"/>
    <x v="0"/>
    <n v="47"/>
    <n v="1150"/>
    <x v="0"/>
    <n v="9596.08"/>
  </r>
  <r>
    <x v="0"/>
    <x v="2"/>
    <n v="38001018003"/>
    <x v="29"/>
    <s v="Item Despesa, NF: 298627 , Fornecedor: FERNANDA WEISSENRIEDER DIAS FERNANDES - 25278845805 , Desc NF: Ticket 298627 , Método Pgmto: BR_EFT"/>
    <n v="1159"/>
    <x v="0"/>
    <n v="47"/>
    <n v="1159"/>
    <x v="1"/>
    <n v="224"/>
  </r>
  <r>
    <x v="0"/>
    <x v="1"/>
    <n v="38001027003"/>
    <x v="28"/>
    <s v="Item Despesa, NF: 65964282766370 , Fornecedor: SUL AMERICA COMPANHIA DE SEGURO SAUDE - 01685053000156 , Desc NF: Ticket #300053 , Método Pgmto: BR_BOLETO"/>
    <n v="1159"/>
    <x v="0"/>
    <n v="47"/>
    <n v="1159"/>
    <x v="1"/>
    <n v="4028.94"/>
  </r>
  <r>
    <x v="0"/>
    <x v="1"/>
    <n v="38001027003"/>
    <x v="28"/>
    <s v="Item Despesa, NF: 65964282766370 , Fornecedor: SUL AMERICA COMPANHIA DE SEGURO SAUDE - 01685053000156 , Desc NF: Ticket #300053 , Método Pgmto: BR_BOLETO"/>
    <n v="1159"/>
    <x v="0"/>
    <n v="47"/>
    <n v="1160"/>
    <x v="2"/>
    <n v="6328.04"/>
  </r>
  <r>
    <x v="0"/>
    <x v="3"/>
    <n v="38001011004"/>
    <x v="5"/>
    <s v="Item Despesa, NF: 5001 , Fornecedor: C LIMA SERVICOS LTDA - 04385911000135 , Desc NF: Ticket 298331 , Método Pgmto: BR_EFT"/>
    <n v="1159"/>
    <x v="0"/>
    <n v="47"/>
    <n v="1150"/>
    <x v="0"/>
    <n v="6500"/>
  </r>
  <r>
    <x v="0"/>
    <x v="3"/>
    <n v="38001011004"/>
    <x v="5"/>
    <s v="- AMORTIZACAO DAS PARCELAS SEGUROS 01 2026 /47151 - Provis�es JurIdicas. / 4701151"/>
    <n v="1159"/>
    <x v="0"/>
    <n v="47"/>
    <n v="1150"/>
    <x v="0"/>
    <n v="12.32"/>
  </r>
  <r>
    <x v="0"/>
    <x v="10"/>
    <n v="38001022001"/>
    <x v="30"/>
    <s v="LTDA Despesas Administrativas"/>
    <n v="1000"/>
    <x v="1"/>
    <n v="51"/>
    <n v="1003"/>
    <x v="3"/>
    <n v="26300.71"/>
  </r>
  <r>
    <x v="1"/>
    <x v="0"/>
    <n v="38001013001"/>
    <x v="1"/>
    <s v="Evento - 1510 - Insuficiência de Saldo , Fevereiro , 47150 - Jurídico Corporativo , 4701150"/>
    <n v="1159"/>
    <x v="0"/>
    <n v="47"/>
    <n v="1150"/>
    <x v="0"/>
    <n v="0.67"/>
  </r>
  <r>
    <x v="1"/>
    <x v="0"/>
    <n v="38001013001"/>
    <x v="1"/>
    <s v="Evento - 0001 - Salário , Fevereiro , 47150 - Jurídico Corporativo , 4701150"/>
    <n v="1159"/>
    <x v="0"/>
    <n v="47"/>
    <n v="1150"/>
    <x v="0"/>
    <n v="63437.61"/>
  </r>
  <r>
    <x v="1"/>
    <x v="1"/>
    <n v="38001027007"/>
    <x v="8"/>
    <s v="Evento - 5725 - Vale Transporte , Fevereiro , 47150 - Jurídico Corporativo , 4701150"/>
    <n v="1159"/>
    <x v="0"/>
    <n v="47"/>
    <n v="1150"/>
    <x v="0"/>
    <n v="-165.39"/>
  </r>
  <r>
    <x v="1"/>
    <x v="7"/>
    <n v="38001023004"/>
    <x v="18"/>
    <s v="Evento - T120 - Provisão de FGTS de Férias - Mês , Fevereiro , 47150 - Jurídico Corporativo , 4701150"/>
    <n v="1159"/>
    <x v="0"/>
    <n v="47"/>
    <n v="1150"/>
    <x v="0"/>
    <n v="422.26"/>
  </r>
  <r>
    <x v="1"/>
    <x v="7"/>
    <n v="38001023004"/>
    <x v="18"/>
    <s v="Evento - T120 - Provisão de FGTS de Férias - Mês , Fevereiro , 47159 - Diretoria Jurídica , 4701159"/>
    <n v="1159"/>
    <x v="0"/>
    <n v="47"/>
    <n v="1159"/>
    <x v="1"/>
    <n v="530.41999999999996"/>
  </r>
  <r>
    <x v="1"/>
    <x v="0"/>
    <n v="38001013001"/>
    <x v="1"/>
    <s v="Evento - 7010 - Insuficiência de Saldo , Fevereiro , 47150 - Jurídico Corporativo , 4701150"/>
    <n v="1159"/>
    <x v="0"/>
    <n v="47"/>
    <n v="1150"/>
    <x v="0"/>
    <n v="-0.67"/>
  </r>
  <r>
    <x v="1"/>
    <x v="0"/>
    <n v="38001013001"/>
    <x v="1"/>
    <s v="Evento - 0001 - Salário , Fevereiro , 47159 - Diretoria Jurídica , 4701159"/>
    <n v="1159"/>
    <x v="0"/>
    <n v="47"/>
    <n v="1159"/>
    <x v="1"/>
    <n v="51729.69"/>
  </r>
  <r>
    <x v="1"/>
    <x v="0"/>
    <n v="38001013001"/>
    <x v="1"/>
    <s v="Evento - 0001 - Salário , Fevereiro , 47160 - Jurídico Imobiliário , 4701160"/>
    <n v="1159"/>
    <x v="0"/>
    <n v="47"/>
    <n v="1160"/>
    <x v="2"/>
    <n v="60546.94"/>
  </r>
  <r>
    <x v="1"/>
    <x v="7"/>
    <n v="38001023004"/>
    <x v="18"/>
    <s v="Evento - T120 - Provisão de FGTS de Férias - Mês , Fevereiro , 47160 - Jurídico Imobiliário , 4701160"/>
    <n v="1159"/>
    <x v="0"/>
    <n v="47"/>
    <n v="1160"/>
    <x v="2"/>
    <n v="538.19000000000005"/>
  </r>
  <r>
    <x v="1"/>
    <x v="0"/>
    <n v="38001013002"/>
    <x v="0"/>
    <s v="Evento - B074 - GPS Salário Acidente de Trabalho 2,7516% , Fevereiro , 47150 - Jurídico Corporativo , 4701150"/>
    <n v="1159"/>
    <x v="0"/>
    <n v="47"/>
    <n v="1150"/>
    <x v="0"/>
    <n v="47.69"/>
  </r>
  <r>
    <x v="1"/>
    <x v="1"/>
    <n v="38001027008"/>
    <x v="15"/>
    <s v="Evento - 8040 - Vale Refeição , Fevereiro , 47150 - Jurídico Corporativo , 4701150"/>
    <n v="1159"/>
    <x v="0"/>
    <n v="47"/>
    <n v="1150"/>
    <x v="0"/>
    <n v="-640"/>
  </r>
  <r>
    <x v="1"/>
    <x v="0"/>
    <n v="38001013002"/>
    <x v="0"/>
    <s v="Evento - B076 - GPS Salário Terceiros 5,80% , Fevereiro , 47150 - Jurídico Corporativo , 4701150"/>
    <n v="1159"/>
    <x v="0"/>
    <n v="47"/>
    <n v="1150"/>
    <x v="0"/>
    <n v="100.53"/>
  </r>
  <r>
    <x v="1"/>
    <x v="0"/>
    <n v="38001013002"/>
    <x v="0"/>
    <s v="Evento - B074 - GPS Salário Acidente de Trabalho 2.7516% , Fevereiro , 47150 - Jurídico Corporativo , 4701150"/>
    <n v="1159"/>
    <x v="0"/>
    <n v="47"/>
    <n v="1150"/>
    <x v="0"/>
    <n v="1768.16"/>
  </r>
  <r>
    <x v="1"/>
    <x v="0"/>
    <n v="38001013002"/>
    <x v="0"/>
    <s v="Evento - B076 - GPS Salário Terceiros 5.80% , Fevereiro , 47150 - Jurídico Corporativo , 4701150"/>
    <n v="1159"/>
    <x v="0"/>
    <n v="47"/>
    <n v="1150"/>
    <x v="0"/>
    <n v="3727.06"/>
  </r>
  <r>
    <x v="1"/>
    <x v="0"/>
    <n v="38001013002"/>
    <x v="0"/>
    <s v="Evento - B074 - GPS Salário Acidente de Trabalho 2.7516% , Fevereiro , 47159 - Diretoria Jurídica , 4701159"/>
    <n v="1159"/>
    <x v="0"/>
    <n v="47"/>
    <n v="1159"/>
    <x v="1"/>
    <n v="1714.72"/>
  </r>
  <r>
    <x v="1"/>
    <x v="0"/>
    <n v="38001013002"/>
    <x v="0"/>
    <s v="Evento - B076 - GPS Salário Terceiros 5.80% , Fevereiro , 47159 - Diretoria Jurídica , 4701159"/>
    <n v="1159"/>
    <x v="0"/>
    <n v="47"/>
    <n v="1159"/>
    <x v="1"/>
    <n v="3614.41"/>
  </r>
  <r>
    <x v="1"/>
    <x v="0"/>
    <n v="38001013002"/>
    <x v="0"/>
    <s v="Evento - B074 - GPS Salário Acidente de Trabalho 2.7516% , Fevereiro , 47160 - Jurídico Imobiliário , 4701160"/>
    <n v="1159"/>
    <x v="0"/>
    <n v="47"/>
    <n v="1160"/>
    <x v="2"/>
    <n v="1666"/>
  </r>
  <r>
    <x v="1"/>
    <x v="0"/>
    <n v="38001013002"/>
    <x v="0"/>
    <s v="Evento - B076 - GPS Salário Terceiros 5.80% , Fevereiro , 47160 - Jurídico Imobiliário , 4701160"/>
    <n v="1159"/>
    <x v="0"/>
    <n v="47"/>
    <n v="1160"/>
    <x v="2"/>
    <n v="3511.71"/>
  </r>
  <r>
    <x v="1"/>
    <x v="0"/>
    <n v="38001013001"/>
    <x v="1"/>
    <s v="Evento - 8030 - Assistência Médica , Fevereiro , 47150 - Jurídico Corporativo , 4701150"/>
    <n v="1159"/>
    <x v="0"/>
    <n v="47"/>
    <n v="1150"/>
    <x v="0"/>
    <n v="-647.4"/>
  </r>
  <r>
    <x v="1"/>
    <x v="0"/>
    <n v="38001013001"/>
    <x v="1"/>
    <s v="Evento - 8086 - Assistência Médica Dependente , Fevereiro , 47150 - Jurídico Corporativo , 4701150"/>
    <n v="1159"/>
    <x v="0"/>
    <n v="47"/>
    <n v="1150"/>
    <x v="0"/>
    <n v="-870.96"/>
  </r>
  <r>
    <x v="1"/>
    <x v="0"/>
    <n v="38001013001"/>
    <x v="1"/>
    <s v="Evento - 8030 - Assistência Médica , Fevereiro , 47159 - Diretoria Jurídica , 4701159"/>
    <n v="1159"/>
    <x v="0"/>
    <n v="47"/>
    <n v="1159"/>
    <x v="1"/>
    <n v="-647.4"/>
  </r>
  <r>
    <x v="1"/>
    <x v="0"/>
    <n v="38001013001"/>
    <x v="1"/>
    <s v="Evento - 8030 - Assistência Médica , Fevereiro , 47160 - Jurídico Imobiliário , 4701160"/>
    <n v="1159"/>
    <x v="0"/>
    <n v="47"/>
    <n v="1160"/>
    <x v="2"/>
    <n v="-431.6"/>
  </r>
  <r>
    <x v="1"/>
    <x v="0"/>
    <n v="38001013001"/>
    <x v="1"/>
    <s v="Evento - 8086 - Assistência Médica Dependente , Fevereiro , 47160 - Jurídico Imobiliário , 4701160"/>
    <n v="1159"/>
    <x v="0"/>
    <n v="47"/>
    <n v="1160"/>
    <x v="2"/>
    <n v="-655.16"/>
  </r>
  <r>
    <x v="1"/>
    <x v="8"/>
    <n v="38001025002"/>
    <x v="17"/>
    <s v="Evento - T210 - Provisão de INSS de 13o. Salário - Mês , Fevereiro , 47150 - Jurídico Corporativo , 4701150"/>
    <n v="1159"/>
    <x v="0"/>
    <n v="47"/>
    <n v="1150"/>
    <x v="0"/>
    <n v="454.59"/>
  </r>
  <r>
    <x v="1"/>
    <x v="8"/>
    <n v="38001025002"/>
    <x v="17"/>
    <s v="Evento - T210 - Provisão de INSS de 13o. Salário - Mês , Fevereiro , 47159 - Diretoria Jurídica , 4701159"/>
    <n v="1159"/>
    <x v="0"/>
    <n v="47"/>
    <n v="1159"/>
    <x v="1"/>
    <n v="425.24"/>
  </r>
  <r>
    <x v="1"/>
    <x v="8"/>
    <n v="38001025002"/>
    <x v="17"/>
    <s v="Evento - T210 - Provisão de INSS de 13o. Salário - Mês , Fevereiro , 47160 - Jurídico Imobiliário , 4701160"/>
    <n v="1159"/>
    <x v="0"/>
    <n v="47"/>
    <n v="1160"/>
    <x v="2"/>
    <n v="431.49"/>
  </r>
  <r>
    <x v="1"/>
    <x v="0"/>
    <n v="38001013001"/>
    <x v="1"/>
    <s v="Evento - 5530 - Contribuição Assistencial , Fevereiro , 47150 - Jurídico Corporativo , 4701150"/>
    <n v="1159"/>
    <x v="0"/>
    <n v="47"/>
    <n v="1150"/>
    <x v="0"/>
    <n v="-131.46"/>
  </r>
  <r>
    <x v="1"/>
    <x v="4"/>
    <n v="38001019002"/>
    <x v="26"/>
    <s v="Acerto ACF Documento: 202500000038327 - FORNECEDO:VOLL S.A 09306896000106"/>
    <n v="1159"/>
    <x v="0"/>
    <n v="47"/>
    <n v="1159"/>
    <x v="1"/>
    <n v="-935.95"/>
  </r>
  <r>
    <x v="1"/>
    <x v="7"/>
    <n v="38001023001"/>
    <x v="20"/>
    <s v="Evento - T100 - Provisão de Férias - Mês , Fevereiro , 47150 - Jurídico Corporativo , 4701150"/>
    <n v="1159"/>
    <x v="0"/>
    <n v="47"/>
    <n v="1150"/>
    <x v="0"/>
    <n v="5278.1"/>
  </r>
  <r>
    <x v="1"/>
    <x v="7"/>
    <n v="38001023001"/>
    <x v="20"/>
    <s v="Evento - T100 - Provisão de Férias - Mês , Fevereiro , 47159 - Diretoria Jurídica , 4701159"/>
    <n v="1159"/>
    <x v="0"/>
    <n v="47"/>
    <n v="1159"/>
    <x v="1"/>
    <n v="6630.06"/>
  </r>
  <r>
    <x v="1"/>
    <x v="7"/>
    <n v="38001023001"/>
    <x v="20"/>
    <s v="Evento - T100 - Provisão de Férias - Mês , Fevereiro , 47160 - Jurídico Imobiliário , 4701160"/>
    <n v="1159"/>
    <x v="0"/>
    <n v="47"/>
    <n v="1160"/>
    <x v="2"/>
    <n v="6727.43"/>
  </r>
  <r>
    <x v="1"/>
    <x v="0"/>
    <n v="38001013001"/>
    <x v="1"/>
    <s v="Evento - 5530 - Contribuição Assistencial , Fevereiro , 47160 - Jurídico Imobiliário , 4701160"/>
    <n v="1159"/>
    <x v="0"/>
    <n v="47"/>
    <n v="1160"/>
    <x v="2"/>
    <n v="-24.02"/>
  </r>
  <r>
    <x v="1"/>
    <x v="0"/>
    <n v="38001013001"/>
    <x v="1"/>
    <s v="Evento - 5530 - Contribuição Assistencial , Fevereiro , 47159 - Diretoria Jurídica , 4701159"/>
    <n v="1159"/>
    <x v="0"/>
    <n v="47"/>
    <n v="1159"/>
    <x v="1"/>
    <n v="-46.3"/>
  </r>
  <r>
    <x v="1"/>
    <x v="8"/>
    <n v="38001025001"/>
    <x v="22"/>
    <s v="Evento - T200 - Provisão de 13o. Salário - Mês , Fevereiro , 47150 - Jurídico Corporativo , 4701150"/>
    <n v="1159"/>
    <x v="0"/>
    <n v="47"/>
    <n v="1150"/>
    <x v="0"/>
    <n v="5315.64"/>
  </r>
  <r>
    <x v="1"/>
    <x v="8"/>
    <n v="38001025001"/>
    <x v="22"/>
    <s v="Evento - T200 - Provisão de 13o. Salário - Mês , Fevereiro , 47159 - Diretoria Jurídica , 4701159"/>
    <n v="1159"/>
    <x v="0"/>
    <n v="47"/>
    <n v="1159"/>
    <x v="1"/>
    <n v="4972.54"/>
  </r>
  <r>
    <x v="1"/>
    <x v="7"/>
    <n v="38001023002"/>
    <x v="16"/>
    <s v="Evento - T110 - Provisão de INSS de Férias - Mês , Fevereiro , 47150 - Jurídico Corporativo , 4701150"/>
    <n v="1159"/>
    <x v="0"/>
    <n v="47"/>
    <n v="1150"/>
    <x v="0"/>
    <n v="451.36"/>
  </r>
  <r>
    <x v="1"/>
    <x v="7"/>
    <n v="38001023002"/>
    <x v="16"/>
    <s v="Evento - T110 - Provisão de INSS de Férias - Mês , Fevereiro , 47159 - Diretoria Jurídica , 4701159"/>
    <n v="1159"/>
    <x v="0"/>
    <n v="47"/>
    <n v="1159"/>
    <x v="1"/>
    <n v="566.97"/>
  </r>
  <r>
    <x v="1"/>
    <x v="7"/>
    <n v="38001023002"/>
    <x v="16"/>
    <s v="Evento - T110 - Provisão de INSS de Férias - Mês , Fevereiro , 47160 - Jurídico Imobiliário , 4701160"/>
    <n v="1159"/>
    <x v="0"/>
    <n v="47"/>
    <n v="1160"/>
    <x v="2"/>
    <n v="575.29999999999995"/>
  </r>
  <r>
    <x v="1"/>
    <x v="8"/>
    <n v="38001025001"/>
    <x v="22"/>
    <s v="Evento - T200 - Provisão de 13o. Salário - Mês , Fevereiro , 47160 - Jurídico Imobiliário , 4701160"/>
    <n v="1159"/>
    <x v="0"/>
    <n v="47"/>
    <n v="1160"/>
    <x v="2"/>
    <n v="5045.5600000000004"/>
  </r>
  <r>
    <x v="1"/>
    <x v="0"/>
    <n v="38001013004"/>
    <x v="21"/>
    <s v="Evento - B410 - FGTS Salário , Fevereiro , 47150 - Jurídico Corporativo , 4701150"/>
    <n v="1159"/>
    <x v="0"/>
    <n v="47"/>
    <n v="1150"/>
    <x v="0"/>
    <n v="5226.0600000000004"/>
  </r>
  <r>
    <x v="1"/>
    <x v="0"/>
    <n v="38001013004"/>
    <x v="21"/>
    <s v="Evento - B410 - FGTS Salário , Fevereiro , 47159 - Diretoria Jurídica , 4701159"/>
    <n v="1159"/>
    <x v="0"/>
    <n v="47"/>
    <n v="1159"/>
    <x v="1"/>
    <n v="4985.3900000000003"/>
  </r>
  <r>
    <x v="1"/>
    <x v="0"/>
    <n v="38001013004"/>
    <x v="21"/>
    <s v="Evento - B410 - FGTS Salário , Fevereiro , 47160 - Jurídico Imobiliário , 4701160"/>
    <n v="1159"/>
    <x v="0"/>
    <n v="47"/>
    <n v="1160"/>
    <x v="2"/>
    <n v="4843.7299999999996"/>
  </r>
  <r>
    <x v="1"/>
    <x v="0"/>
    <n v="38001013003"/>
    <x v="31"/>
    <s v="Rateio INSS Patronal 01.2026 -  47150 - Jurídico Corporativo"/>
    <n v="1159"/>
    <x v="0"/>
    <n v="47"/>
    <n v="1150"/>
    <x v="0"/>
    <n v="6599.32"/>
  </r>
  <r>
    <x v="1"/>
    <x v="0"/>
    <n v="38001013003"/>
    <x v="31"/>
    <s v="Rateio INSS Patronal 01.2026 -  47159 - Diretoria Jurídica"/>
    <n v="1159"/>
    <x v="0"/>
    <n v="47"/>
    <n v="1159"/>
    <x v="1"/>
    <n v="6231.75"/>
  </r>
  <r>
    <x v="1"/>
    <x v="0"/>
    <n v="38001013003"/>
    <x v="31"/>
    <s v="Rateio INSS Patronal 01.2026 -  47160 - Jurídico Imobiliário"/>
    <n v="1159"/>
    <x v="0"/>
    <n v="47"/>
    <n v="1160"/>
    <x v="2"/>
    <n v="6054.69"/>
  </r>
  <r>
    <x v="1"/>
    <x v="2"/>
    <n v="38001018002"/>
    <x v="11"/>
    <s v="Item Despesa, NF: 15507 , Fornecedor: UNIDAS LOCACOES E SERVICOS S/A - 75609123000123 , Desc NF: Ticket #307004 , Método Pgmto: BR_BOLETO"/>
    <n v="1159"/>
    <x v="0"/>
    <n v="47"/>
    <n v="1159"/>
    <x v="1"/>
    <n v="-11524.86"/>
  </r>
  <r>
    <x v="1"/>
    <x v="2"/>
    <n v="38001018002"/>
    <x v="11"/>
    <s v="Depreciação, NF: 15507 , Fornecedor: UNIDAS LOCACOES E SERVICOS S/A - 75609123000123 , Desc NF: Ticket #307004 , Método Pgmto: BR_BOLETO"/>
    <n v="1159"/>
    <x v="0"/>
    <n v="47"/>
    <n v="1159"/>
    <x v="1"/>
    <n v="10263.61"/>
  </r>
  <r>
    <x v="1"/>
    <x v="8"/>
    <n v="38001025004"/>
    <x v="19"/>
    <s v="Evento - T220 - Provisão de FGTS de 13o. Salário  - Mês , Fevereiro , 47150 - Jurídico Corporativo , 4701150"/>
    <n v="1159"/>
    <x v="0"/>
    <n v="47"/>
    <n v="1150"/>
    <x v="0"/>
    <n v="425.24"/>
  </r>
  <r>
    <x v="1"/>
    <x v="8"/>
    <n v="38001025004"/>
    <x v="19"/>
    <s v="Evento - T220 - Provisão de FGTS de 13o. Salário  - Mês , Fevereiro , 47159 - Diretoria Jurídica , 4701159"/>
    <n v="1159"/>
    <x v="0"/>
    <n v="47"/>
    <n v="1159"/>
    <x v="1"/>
    <n v="397.81"/>
  </r>
  <r>
    <x v="1"/>
    <x v="8"/>
    <n v="38001025004"/>
    <x v="19"/>
    <s v="Evento - T220 - Provisão de FGTS de 13o. Salário  - Mês , Fevereiro , 47160 - Jurídico Imobiliário , 4701160"/>
    <n v="1159"/>
    <x v="0"/>
    <n v="47"/>
    <n v="1160"/>
    <x v="2"/>
    <n v="403.66"/>
  </r>
  <r>
    <x v="1"/>
    <x v="3"/>
    <n v="38001011004"/>
    <x v="5"/>
    <s v="Item Despesa, NF: 238768 , Fornecedor: LUZ PUBLICIDADE SP SUL LTDA - 50750298000125 , Desc NF:  Ticket #303087 , Método Pgmto: BR_EFT"/>
    <n v="1159"/>
    <x v="0"/>
    <n v="47"/>
    <n v="1150"/>
    <x v="0"/>
    <n v="4140"/>
  </r>
  <r>
    <x v="1"/>
    <x v="3"/>
    <n v="38001011004"/>
    <x v="5"/>
    <s v="Item Despesa, NF: 5023 , Fornecedor: C LIMA SERVICOS LTDA - 04385911000135 , Desc NF: Ticket #303191 , Método Pgmto: BR_EFT"/>
    <n v="1159"/>
    <x v="0"/>
    <n v="47"/>
    <n v="1150"/>
    <x v="0"/>
    <n v="7000"/>
  </r>
  <r>
    <x v="1"/>
    <x v="3"/>
    <n v="38001011004"/>
    <x v="5"/>
    <s v="Item Despesa, NF: 260590026858997 , Fornecedor: SECRETARIA DA FAZENDA E PLANEJAMENTO - 46377222000129 , Desc NF: Ticket #303128 , Método Pgmto: BR_BOLETO"/>
    <n v="1159"/>
    <x v="0"/>
    <n v="47"/>
    <n v="1150"/>
    <x v="0"/>
    <n v="273.55"/>
  </r>
  <r>
    <x v="1"/>
    <x v="3"/>
    <n v="38001011004"/>
    <x v="5"/>
    <s v="Item Despesa, NF: 260590026875940 , Fornecedor: SECRETARIA DA FAZENDA E PLANEJAMENTO - 46377222000129 , Desc NF: Ticket #303130 , Método Pgmto: BR_BOLETO"/>
    <n v="1159"/>
    <x v="0"/>
    <n v="47"/>
    <n v="1150"/>
    <x v="0"/>
    <n v="273.55"/>
  </r>
  <r>
    <x v="1"/>
    <x v="3"/>
    <n v="38001011004"/>
    <x v="5"/>
    <s v="Item Despesa, NF: 260590026882070 , Fornecedor: SECRETARIA DA FAZENDA E PLANEJAMENTO - 46377222000129 , Desc NF: Ticket #303132 , Método Pgmto: BR_BOLETO"/>
    <n v="1159"/>
    <x v="0"/>
    <n v="47"/>
    <n v="1150"/>
    <x v="0"/>
    <n v="273.55"/>
  </r>
  <r>
    <x v="1"/>
    <x v="3"/>
    <n v="38001011004"/>
    <x v="5"/>
    <s v="Item Despesa, NF: 260590026891038 , Fornecedor: SECRETARIA DA FAZENDA E PLANEJAMENTO - 46377222000129 , Desc NF: Ticket #303133 , Método Pgmto: BR_BOLETO"/>
    <n v="1159"/>
    <x v="0"/>
    <n v="47"/>
    <n v="1150"/>
    <x v="0"/>
    <n v="273.55"/>
  </r>
  <r>
    <x v="1"/>
    <x v="3"/>
    <n v="38001011004"/>
    <x v="5"/>
    <s v="Item Despesa, NF: 260590026897469 , Fornecedor: SECRETARIA DA FAZENDA E PLANEJAMENTO - 46377222000129 , Desc NF:  Ticket #303134 , Método Pgmto: BR_BOLETO"/>
    <n v="1159"/>
    <x v="0"/>
    <n v="47"/>
    <n v="1150"/>
    <x v="0"/>
    <n v="273.55"/>
  </r>
  <r>
    <x v="1"/>
    <x v="3"/>
    <n v="38001011004"/>
    <x v="5"/>
    <s v="Item Despesa, NF: 260590026903538 , Fornecedor: SECRETARIA DA FAZENDA E PLANEJAMENTO - 46377222000129 , Desc NF: Ticket #303136 , Método Pgmto: BR_BOLETO"/>
    <n v="1159"/>
    <x v="0"/>
    <n v="47"/>
    <n v="1150"/>
    <x v="0"/>
    <n v="273.55"/>
  </r>
  <r>
    <x v="1"/>
    <x v="3"/>
    <n v="38001011004"/>
    <x v="5"/>
    <s v="Item Despesa, NF: 260590026910360 , Fornecedor: SECRETARIA DA FAZENDA E PLANEJAMENTO - 46377222000129 , Desc NF: Ticket #303137 , Método Pgmto: BR_BOLETO"/>
    <n v="1159"/>
    <x v="0"/>
    <n v="47"/>
    <n v="1150"/>
    <x v="0"/>
    <n v="273.55"/>
  </r>
  <r>
    <x v="1"/>
    <x v="3"/>
    <n v="38001011004"/>
    <x v="5"/>
    <s v="Item Despesa, NF: 260590026916340 , Fornecedor: SECRETARIA DA FAZENDA E PLANEJAMENTO - 46377222000129 , Desc NF: Ticket #303138 , Método Pgmto: BR_BOLETO"/>
    <n v="1159"/>
    <x v="0"/>
    <n v="47"/>
    <n v="1150"/>
    <x v="0"/>
    <n v="273.55"/>
  </r>
  <r>
    <x v="1"/>
    <x v="3"/>
    <n v="38001011004"/>
    <x v="5"/>
    <s v="Item Despesa, NF: 260590026922229 , Fornecedor: SECRETARIA DA FAZENDA E PLANEJAMENTO - 46377222000129 , Desc NF: - Ticket #303139 , Método Pgmto: BR_BOLETO"/>
    <n v="1159"/>
    <x v="0"/>
    <n v="47"/>
    <n v="1150"/>
    <x v="0"/>
    <n v="273.55"/>
  </r>
  <r>
    <x v="1"/>
    <x v="3"/>
    <n v="38001011004"/>
    <x v="5"/>
    <s v="Item Despesa, NF: 260590024058226 , Fornecedor: SECRETARIA DA FAZENDA E PLANEJAMENTO - 46377222000129 , Desc NF: Ticket #302601 , Método Pgmto: BR_BOLETO"/>
    <n v="1159"/>
    <x v="0"/>
    <n v="47"/>
    <n v="1150"/>
    <x v="0"/>
    <n v="164.05"/>
  </r>
  <r>
    <x v="1"/>
    <x v="3"/>
    <n v="38001011004"/>
    <x v="5"/>
    <s v="Item Despesa, NF: 260590024764740 , Fornecedor: SECRETARIA DA FAZENDA E PLANEJAMENTO - 46377222000129 , Desc NF: Ticket #302608 , Método Pgmto: BR_BOLETO"/>
    <n v="1159"/>
    <x v="0"/>
    <n v="47"/>
    <n v="1150"/>
    <x v="0"/>
    <n v="273.55"/>
  </r>
  <r>
    <x v="1"/>
    <x v="3"/>
    <n v="38001011004"/>
    <x v="5"/>
    <s v="Item Despesa, NF: 260590025192551 , Fornecedor: SECRETARIA DA FAZENDA E PLANEJAMENTO - 46377222000129 , Desc NF: Ticket #302609 , Método Pgmto: BR_BOLETO"/>
    <n v="1159"/>
    <x v="0"/>
    <n v="47"/>
    <n v="1150"/>
    <x v="0"/>
    <n v="583.98"/>
  </r>
  <r>
    <x v="1"/>
    <x v="5"/>
    <n v="38001002001"/>
    <x v="7"/>
    <s v="Item Despesa, NF: 302295 , Fornecedor: 7 REGISTRO CIVIL DAS PESSOAS NATURAIS SUBDISTRITO CONSOLACAO - 59882800000126 , Desc NF: Ticket #302295 , Método Pgmto: BR_EFT"/>
    <n v="1159"/>
    <x v="0"/>
    <n v="47"/>
    <n v="1160"/>
    <x v="2"/>
    <n v="46.86"/>
  </r>
  <r>
    <x v="1"/>
    <x v="3"/>
    <n v="38001011004"/>
    <x v="5"/>
    <s v="Item Despesa, NF: 1508 , Fornecedor: CONTATO DIARIO LTDA - 03501722000118 , Desc NF: Ticket #302629 , Método Pgmto: BR_EFT"/>
    <n v="1159"/>
    <x v="0"/>
    <n v="47"/>
    <n v="1150"/>
    <x v="0"/>
    <n v="200"/>
  </r>
  <r>
    <x v="1"/>
    <x v="4"/>
    <n v="38001019001"/>
    <x v="23"/>
    <s v="Item Despesa, NF: 115097 , Fornecedor: FERNANDO CARVALHO RIBEIRO FILHO - 47249370000120 , Desc NF: Ticket #303002 , Método Pgmto: BR_BOLETO"/>
    <n v="1159"/>
    <x v="0"/>
    <n v="47"/>
    <n v="1159"/>
    <x v="1"/>
    <n v="330"/>
  </r>
  <r>
    <x v="1"/>
    <x v="1"/>
    <n v="38001027005"/>
    <x v="2"/>
    <s v="Item Despesa, NF: 85173462372 , Fornecedor: CAIXA VIDA E PREVIDENCIA S/A - 03730204000176 , Desc NF: Ticket 307364 , Método Pgmto: BR_BOLETO"/>
    <n v="1159"/>
    <x v="0"/>
    <n v="47"/>
    <n v="1150"/>
    <x v="0"/>
    <n v="192.72"/>
  </r>
  <r>
    <x v="1"/>
    <x v="1"/>
    <n v="38001027005"/>
    <x v="2"/>
    <s v="Item Despesa, NF: 85173462372 , Fornecedor: CAIXA VIDA E PREVIDENCIA S/A - 03730204000176 , Desc NF: Ticket 307364 , Método Pgmto: BR_BOLETO"/>
    <n v="1159"/>
    <x v="0"/>
    <n v="47"/>
    <n v="1159"/>
    <x v="1"/>
    <n v="52.56"/>
  </r>
  <r>
    <x v="1"/>
    <x v="1"/>
    <n v="38001027005"/>
    <x v="2"/>
    <s v="Item Despesa, NF: 85173462372 , Fornecedor: CAIXA VIDA E PREVIDENCIA S/A - 03730204000176 , Desc NF: Ticket 307364 , Método Pgmto: BR_BOLETO"/>
    <n v="1159"/>
    <x v="0"/>
    <n v="47"/>
    <n v="1160"/>
    <x v="2"/>
    <n v="157.68"/>
  </r>
  <r>
    <x v="1"/>
    <x v="1"/>
    <n v="38001027007"/>
    <x v="8"/>
    <s v="Item Despesa, NF: 40597 , Fornecedor: RB REDE DE BENEFICIOS E GESTAO EMPRESARIAL LTDA - 00342669000161 , Desc NF: Ticket #306428 BAIXA ADTO3328978 , Método Pgmto: BR_BOLETO"/>
    <n v="1159"/>
    <x v="0"/>
    <n v="47"/>
    <n v="1150"/>
    <x v="0"/>
    <n v="418.06"/>
  </r>
  <r>
    <x v="1"/>
    <x v="1"/>
    <n v="38001027007"/>
    <x v="8"/>
    <s v="Item Despesa, NF: 387624 , Fornecedor: RB REDE DE BENEFICIOS E GESTAO EMPRESARIAL LTDA - 00342669000161 , Desc NF: Ticket #306428 BAIXA ADTO3328978 , Método Pgmto: BR_BOLETO"/>
    <n v="1159"/>
    <x v="0"/>
    <n v="47"/>
    <n v="1150"/>
    <x v="0"/>
    <n v="101.54"/>
  </r>
  <r>
    <x v="1"/>
    <x v="1"/>
    <n v="38001027008"/>
    <x v="15"/>
    <s v="Item Despesa, NF: 93974876 , Fornecedor: VR BENEFICIOS E SERVICOS DE PROCESSAMENTO S.A - 02535864000133 , Desc NF:  Ticket #308055 - DEBITO AUTOM. , Método Pgmto: BR_BOLETO"/>
    <n v="1159"/>
    <x v="0"/>
    <n v="47"/>
    <n v="1150"/>
    <x v="0"/>
    <n v="1650"/>
  </r>
  <r>
    <x v="1"/>
    <x v="1"/>
    <n v="38001027008"/>
    <x v="15"/>
    <s v="Item Despesa, NF: 93974875 , Fornecedor: VR BENEFICIOS E SERVICOS DE PROCESSAMENTO S.A - 02535864000133 , Desc NF: Ticket #308056 - DEBITO AUTOM. , Método Pgmto: BR_BOLETO"/>
    <n v="1159"/>
    <x v="0"/>
    <n v="47"/>
    <n v="1150"/>
    <x v="0"/>
    <n v="6890"/>
  </r>
  <r>
    <x v="1"/>
    <x v="1"/>
    <n v="38001027008"/>
    <x v="15"/>
    <s v="Item Despesa, NF: 93974875 , Fornecedor: VR BENEFICIOS E SERVICOS DE PROCESSAMENTO S.A - 02535864000133 , Desc NF: Ticket #308056 - DEBITO AUTOM. , Método Pgmto: BR_BOLETO"/>
    <n v="1159"/>
    <x v="0"/>
    <n v="47"/>
    <n v="1159"/>
    <x v="1"/>
    <n v="2200"/>
  </r>
  <r>
    <x v="1"/>
    <x v="1"/>
    <n v="38001027008"/>
    <x v="15"/>
    <s v="Item Despesa, NF: 93974876 , Fornecedor: VR BENEFICIOS E SERVICOS DE PROCESSAMENTO S.A - 02535864000133 , Desc NF:  Ticket #308055 - DEBITO AUTOM. , Método Pgmto: BR_BOLETO"/>
    <n v="1159"/>
    <x v="0"/>
    <n v="47"/>
    <n v="1160"/>
    <x v="2"/>
    <n v="1650"/>
  </r>
  <r>
    <x v="1"/>
    <x v="1"/>
    <n v="38001027008"/>
    <x v="15"/>
    <s v="Item Despesa, NF: 93974875 , Fornecedor: VR BENEFICIOS E SERVICOS DE PROCESSAMENTO S.A - 02535864000133 , Desc NF: Ticket #308056 - DEBITO AUTOM. , Método Pgmto: BR_BOLETO"/>
    <n v="1159"/>
    <x v="0"/>
    <n v="47"/>
    <n v="1160"/>
    <x v="2"/>
    <n v="6310"/>
  </r>
  <r>
    <x v="1"/>
    <x v="2"/>
    <n v="38001018007"/>
    <x v="3"/>
    <s v="Item Despesa, NF: 1695793 , Fornecedor: ALELO INSTITUICAO DE PAGAMENTO SA - 04740876000125 , Desc NF: Ticket 307126 , Método Pgmto: BR_BOLETO"/>
    <n v="1159"/>
    <x v="0"/>
    <n v="47"/>
    <n v="1159"/>
    <x v="1"/>
    <n v="865.5"/>
  </r>
  <r>
    <x v="1"/>
    <x v="0"/>
    <n v="38001013002"/>
    <x v="0"/>
    <s v="Item Despesa, NF: 28152990105082296 , Fornecedor: SERVICO NACIONAL DE APRENDIZAGEM INDUSTRIAL SENAI - 33564543000190 , Desc NF:  , Método Pgmto: BR_BOLETO"/>
    <n v="1159"/>
    <x v="0"/>
    <n v="47"/>
    <n v="1150"/>
    <x v="0"/>
    <n v="156.02000000000001"/>
  </r>
  <r>
    <x v="1"/>
    <x v="0"/>
    <n v="38001013002"/>
    <x v="0"/>
    <s v="Item Despesa, NF: 28152990105082296 , Fornecedor: SERVICO NACIONAL DE APRENDIZAGEM INDUSTRIAL SENAI - 33564543000190 , Desc NF:  , Método Pgmto: BR_BOLETO"/>
    <n v="1159"/>
    <x v="0"/>
    <n v="47"/>
    <n v="1159"/>
    <x v="1"/>
    <n v="119.34"/>
  </r>
  <r>
    <x v="1"/>
    <x v="0"/>
    <n v="38001013002"/>
    <x v="0"/>
    <s v="Item Despesa, NF: 28152990105082296 , Fornecedor: SERVICO NACIONAL DE APRENDIZAGEM INDUSTRIAL SENAI - 33564543000190 , Desc NF:  , Método Pgmto: BR_BOLETO"/>
    <n v="1159"/>
    <x v="0"/>
    <n v="47"/>
    <n v="1160"/>
    <x v="2"/>
    <n v="125.15"/>
  </r>
  <r>
    <x v="1"/>
    <x v="1"/>
    <n v="38001027004"/>
    <x v="25"/>
    <s v="Item Despesa, NF: 4886961 , Fornecedor: SUL AMERICA ODONTOLOGICO S.A - 11973134000105 , Desc NF: Ticket 307362 , Método Pgmto: BR_BOLETO"/>
    <n v="1159"/>
    <x v="0"/>
    <n v="47"/>
    <n v="1150"/>
    <x v="0"/>
    <n v="461.76"/>
  </r>
  <r>
    <x v="1"/>
    <x v="1"/>
    <n v="38001027004"/>
    <x v="25"/>
    <s v="Item Despesa, NF: 4886961 , Fornecedor: SUL AMERICA ODONTOLOGICO S.A - 11973134000105 , Desc NF: Ticket 307362 , Método Pgmto: BR_BOLETO"/>
    <n v="1159"/>
    <x v="0"/>
    <n v="47"/>
    <n v="1159"/>
    <x v="1"/>
    <n v="173.16"/>
  </r>
  <r>
    <x v="1"/>
    <x v="1"/>
    <n v="38001027004"/>
    <x v="25"/>
    <s v="Item Despesa, NF: 4886961 , Fornecedor: SUL AMERICA ODONTOLOGICO S.A - 11973134000105 , Desc NF: Ticket 307362 , Método Pgmto: BR_BOLETO"/>
    <n v="1159"/>
    <x v="0"/>
    <n v="47"/>
    <n v="1160"/>
    <x v="2"/>
    <n v="259.74"/>
  </r>
  <r>
    <x v="1"/>
    <x v="4"/>
    <n v="38001019004"/>
    <x v="6"/>
    <s v="Item Despesa, NF: REEMB#000127230146 , Fornecedor: Victor Vasconcelos Miranda , Desc NF:  , Método Pgmto: BR_EFT"/>
    <n v="1159"/>
    <x v="0"/>
    <n v="47"/>
    <n v="1159"/>
    <x v="1"/>
    <n v="244.82"/>
  </r>
  <r>
    <x v="1"/>
    <x v="4"/>
    <n v="38001019005"/>
    <x v="10"/>
    <s v="Item Despesa, NF: 3488 , Fornecedor: UBER DO BRASIL TECNOLOGIA LTDA. - 17895646000187 , Desc NF: Ticket #307465 , Método Pgmto: BR_BOLETO"/>
    <n v="1159"/>
    <x v="0"/>
    <n v="47"/>
    <n v="1159"/>
    <x v="1"/>
    <n v="338.55"/>
  </r>
  <r>
    <x v="1"/>
    <x v="2"/>
    <n v="38001018002"/>
    <x v="11"/>
    <s v="Item Despesa, NF: 15507 , Fornecedor: UNIDAS LOCACOES E SERVICOS S/A - 75609123000123 , Desc NF: Ticket #307004 , Método Pgmto: BR_BOLETO"/>
    <n v="1159"/>
    <x v="0"/>
    <n v="47"/>
    <n v="1159"/>
    <x v="1"/>
    <n v="6900"/>
  </r>
  <r>
    <x v="1"/>
    <x v="3"/>
    <n v="38001011004"/>
    <x v="5"/>
    <s v="Item Despesa, NF: 260590044289683 , Fornecedor: SECRETARIA DA FAZENDA E PLANEJAMENTO - 46377222000129 , Desc NF: Ticket 307852 , Método Pgmto: BR_BOLETO"/>
    <n v="1159"/>
    <x v="0"/>
    <n v="47"/>
    <n v="1150"/>
    <x v="0"/>
    <n v="583.98"/>
  </r>
  <r>
    <x v="1"/>
    <x v="2"/>
    <n v="38001018007"/>
    <x v="3"/>
    <s v="Item Despesa, NF: 1736523 , Fornecedor: ALELO INSTITUICAO DE PAGAMENTO SA - 04740876000125 , Desc NF:  Ticket #306707 , Método Pgmto: BR_BOLETO"/>
    <n v="1159"/>
    <x v="0"/>
    <n v="47"/>
    <n v="1159"/>
    <x v="1"/>
    <n v="27.4"/>
  </r>
  <r>
    <x v="1"/>
    <x v="3"/>
    <n v="38001011003"/>
    <x v="14"/>
    <s v="Item Despesa, NF: 78 , Fornecedor: STOCCHE, FORBES, PASSARO E CAMPOS SOCIEDADE DE ADVOGADOS - 34986424000199 , Desc NF: Ticket #303370 , Método Pgmto: BR_EFT"/>
    <n v="1159"/>
    <x v="0"/>
    <n v="47"/>
    <n v="1150"/>
    <x v="0"/>
    <n v="5850"/>
  </r>
  <r>
    <x v="1"/>
    <x v="5"/>
    <n v="38001002001"/>
    <x v="7"/>
    <s v="Item Despesa, NF: 306408 , Fornecedor: 30 TABELIÃO DE NOTAS DA CAPITAL - 45576691000104 , Desc NF: Ticket #306408 , Método Pgmto: BR_EFT"/>
    <n v="1159"/>
    <x v="0"/>
    <n v="47"/>
    <n v="1160"/>
    <x v="2"/>
    <n v="656.36"/>
  </r>
  <r>
    <x v="1"/>
    <x v="5"/>
    <n v="38001002001"/>
    <x v="7"/>
    <s v="Item Despesa, NF: 34961 , Fornecedor: 2 TABELIAO DE NOTAS - 51857563000131 , Desc NF: Ticket #305534 , Método Pgmto: BR_EFT"/>
    <n v="1159"/>
    <x v="0"/>
    <n v="47"/>
    <n v="1160"/>
    <x v="2"/>
    <n v="5.27"/>
  </r>
  <r>
    <x v="1"/>
    <x v="3"/>
    <n v="38001011002"/>
    <x v="4"/>
    <s v="Item Despesa, NF: 4330 , Fornecedor: REIS, SOUZA, TAKEISHI &amp; ARSUFFI SOCIEDADE DE ADVOGADOS - 09639999000198 , Desc NF: Ticket #304307 , Método Pgmto: BR_EFT"/>
    <n v="1159"/>
    <x v="0"/>
    <n v="47"/>
    <n v="1150"/>
    <x v="0"/>
    <n v="56402.77"/>
  </r>
  <r>
    <x v="1"/>
    <x v="4"/>
    <n v="38001019004"/>
    <x v="6"/>
    <s v="Item Despesa, NF: REEMB#000124133749 , Fornecedor: Carolina Emanoela Silva de Carvalho , Desc NF: Viagem para entrega de chaves do Empreendimento em Primavera do Leste , Método Pgmto: BR_EFT"/>
    <n v="1159"/>
    <x v="0"/>
    <n v="47"/>
    <n v="1160"/>
    <x v="2"/>
    <n v="186"/>
  </r>
  <r>
    <x v="1"/>
    <x v="6"/>
    <n v="38001008004"/>
    <x v="9"/>
    <s v="Item Despesa, NF: 115455 , Fornecedor: EUREKA COWORKING SERVICOS DE ESCRITORIO LTDA. - 31027504000129 , Desc NF: Ticket 305589 , Método Pgmto: BR_EFT"/>
    <n v="1159"/>
    <x v="0"/>
    <n v="47"/>
    <n v="1159"/>
    <x v="1"/>
    <n v="2100"/>
  </r>
  <r>
    <x v="1"/>
    <x v="3"/>
    <n v="38001011004"/>
    <x v="5"/>
    <s v="Item Despesa, NF: 260590034737239 , Fornecedor: SECRETARIA DA FAZENDA E PLANEJAMENTO - 46377222000129 , Desc NF:  Ticket #305600 , Método Pgmto: BR_BOLETO"/>
    <n v="1159"/>
    <x v="0"/>
    <n v="47"/>
    <n v="1150"/>
    <x v="0"/>
    <n v="273.55"/>
  </r>
  <r>
    <x v="1"/>
    <x v="4"/>
    <n v="38001019002"/>
    <x v="26"/>
    <s v="Item Despesa, NF: 8578 , Fornecedor: VOLL S.A. - 09306896000106 , Desc NF: Ticket #305930 , Método Pgmto: BR_BOLETO"/>
    <n v="1159"/>
    <x v="0"/>
    <n v="47"/>
    <n v="1159"/>
    <x v="1"/>
    <n v="5568.43"/>
  </r>
  <r>
    <x v="1"/>
    <x v="3"/>
    <n v="38001011003"/>
    <x v="14"/>
    <s v="Item Despesa, NF: 307378 , Fornecedor: CARLA MOROZETTI BLANCO - 25585715836 , Desc NF: Ticket 307378 , Método Pgmto: BR_EFT"/>
    <n v="1159"/>
    <x v="0"/>
    <n v="47"/>
    <n v="1160"/>
    <x v="2"/>
    <n v="5000"/>
  </r>
  <r>
    <x v="1"/>
    <x v="5"/>
    <n v="38001002001"/>
    <x v="7"/>
    <s v="PIX RECEBIDO 51800852000102 - 2 Registro de Imóveis de Ribeirão Preto (ONR):Pelo OUT+ :Banco 033 3984 000013002542"/>
    <n v="1159"/>
    <x v="0"/>
    <n v="47"/>
    <n v="1160"/>
    <x v="2"/>
    <n v="-126.18"/>
  </r>
  <r>
    <x v="1"/>
    <x v="4"/>
    <n v="38001019004"/>
    <x v="6"/>
    <s v="Item Despesa, NF: REEMB#000123238224 , Fornecedor: Victor Vasconcelos Miranda , Desc NF:  , Método Pgmto: BR_EFT"/>
    <n v="1159"/>
    <x v="0"/>
    <n v="47"/>
    <n v="1159"/>
    <x v="1"/>
    <n v="424.27"/>
  </r>
  <r>
    <x v="1"/>
    <x v="1"/>
    <n v="38001027003"/>
    <x v="28"/>
    <s v="Item Despesa, NF: 65964285238300 , Fornecedor: SUL AMERICA COMPANHIA DE SEGURO SAUDE - 01685053000156 , Desc NF: Ticket 307363 , Método Pgmto: BR_BOLETO"/>
    <n v="1159"/>
    <x v="0"/>
    <n v="47"/>
    <n v="1150"/>
    <x v="0"/>
    <n v="9596.08"/>
  </r>
  <r>
    <x v="1"/>
    <x v="1"/>
    <n v="38001027003"/>
    <x v="28"/>
    <s v="Item Despesa, NF: 65964285238300 , Fornecedor: SUL AMERICA COMPANHIA DE SEGURO SAUDE - 01685053000156 , Desc NF: Ticket 307363 , Método Pgmto: BR_BOLETO"/>
    <n v="1159"/>
    <x v="0"/>
    <n v="47"/>
    <n v="1159"/>
    <x v="1"/>
    <n v="4028.94"/>
  </r>
  <r>
    <x v="1"/>
    <x v="1"/>
    <n v="38001027003"/>
    <x v="28"/>
    <s v="Item Despesa, NF: 65964285238300 , Fornecedor: SUL AMERICA COMPANHIA DE SEGURO SAUDE - 01685053000156 , Desc NF: Ticket 307363 , Método Pgmto: BR_BOLETO"/>
    <n v="1159"/>
    <x v="0"/>
    <n v="47"/>
    <n v="1160"/>
    <x v="2"/>
    <n v="6328.04"/>
  </r>
  <r>
    <x v="1"/>
    <x v="9"/>
    <n v="38001001004"/>
    <x v="24"/>
    <s v="Item Despesa, NF: 188802 , Fornecedor: SERASA S.A. - 62173620009306 , Desc NF: Ticket 305061 , Método Pgmto: BR_BOLETO"/>
    <n v="1159"/>
    <x v="0"/>
    <n v="47"/>
    <n v="1150"/>
    <x v="0"/>
    <n v="1199.68"/>
  </r>
  <r>
    <x v="1"/>
    <x v="9"/>
    <n v="38001001004"/>
    <x v="24"/>
    <s v="Item Despesa, NF: 188802 , Fornecedor: SERASA S.A. - 62173620009306 , Desc NF: Ticket 305061 , Método Pgmto: BR_BOLETO"/>
    <n v="1159"/>
    <x v="0"/>
    <n v="47"/>
    <n v="1160"/>
    <x v="2"/>
    <n v="4300.55"/>
  </r>
  <r>
    <x v="1"/>
    <x v="5"/>
    <n v="38001002001"/>
    <x v="7"/>
    <s v="Item Despesa, NF: 36029 , Fornecedor: R.P.D. - DOCUMENTOS, APOIO EMPRESARIAL E NEGOCIOS LTDA - 23522710000187 , Desc NF: Ticket #306409 , Método Pgmto: BR_BOLETO"/>
    <n v="1159"/>
    <x v="0"/>
    <n v="47"/>
    <n v="1160"/>
    <x v="2"/>
    <n v="7865.6"/>
  </r>
  <r>
    <x v="1"/>
    <x v="3"/>
    <n v="38001011002"/>
    <x v="4"/>
    <s v="Item Despesa, NF: 766 , Fornecedor: RIBEIRO PINTO ADVOGADOS ASSOCIADOS - 04612076000129 , Desc NF: Ticket 304334 , Método Pgmto: BR_EFT"/>
    <n v="1159"/>
    <x v="0"/>
    <n v="47"/>
    <n v="1150"/>
    <x v="0"/>
    <n v="43926.239999999998"/>
  </r>
  <r>
    <x v="1"/>
    <x v="3"/>
    <n v="38001011003"/>
    <x v="14"/>
    <s v="Item Despesa, NF: 164001 , Fornecedor: TOZZINI,FREIRE,TEIXEIRA,E SILVA ADVOGADOS - 48109110000112 , Desc NF: Ticket 304319 , Método Pgmto: BR_EFT"/>
    <n v="1159"/>
    <x v="0"/>
    <n v="47"/>
    <n v="1150"/>
    <x v="0"/>
    <n v="22038.57"/>
  </r>
  <r>
    <x v="1"/>
    <x v="3"/>
    <n v="38001011002"/>
    <x v="4"/>
    <s v="Item Despesa, NF: 767 , Fornecedor: RIBEIRO PINTO ADVOGADOS ASSOCIADOS - 04612076000129 , Desc NF: Ticket 304923 , Método Pgmto: BR_EFT"/>
    <n v="1159"/>
    <x v="0"/>
    <n v="47"/>
    <n v="1150"/>
    <x v="0"/>
    <n v="24437.61"/>
  </r>
  <r>
    <x v="1"/>
    <x v="3"/>
    <n v="38001011002"/>
    <x v="4"/>
    <s v="Item Despesa, NF: 475 , Fornecedor: SERUR ADVOGADOS - 03003646000110 , Desc NF: Ticket 304325 , Método Pgmto: BR_EFT"/>
    <n v="1159"/>
    <x v="0"/>
    <n v="47"/>
    <n v="1150"/>
    <x v="0"/>
    <n v="8500"/>
  </r>
  <r>
    <x v="1"/>
    <x v="3"/>
    <n v="38001011003"/>
    <x v="14"/>
    <s v="Item Despesa, NF: 78CANCELADA , Fornecedor: STOCCHE, FORBES, PASSARO E CAMPOS SOCIEDADE DE ADVOGADOS - 34986424000199 , Desc NF: Ticket #303192 , Método Pgmto: BR_EFT"/>
    <n v="1159"/>
    <x v="0"/>
    <n v="47"/>
    <n v="1150"/>
    <x v="0"/>
    <n v="3751.42"/>
  </r>
  <r>
    <x v="1"/>
    <x v="3"/>
    <n v="38001011003"/>
    <x v="14"/>
    <s v="Item Despesa, NF: 78CANCELADA , Fornecedor: STOCCHE, FORBES, PASSARO E CAMPOS SOCIEDADE DE ADVOGADOS - 34986424000199 , Desc NF: Ticket #303192 , Método Pgmto: BR_EFT"/>
    <n v="1159"/>
    <x v="0"/>
    <n v="47"/>
    <n v="1150"/>
    <x v="0"/>
    <n v="-3751.42"/>
  </r>
  <r>
    <x v="1"/>
    <x v="3"/>
    <n v="38001011002"/>
    <x v="4"/>
    <s v="Item Despesa, NF: 443 , Fornecedor: BM ASSESSORIA EMPRESARIAL LTDA - 32930743000157 , Desc NF: Ticket #304925 , Método Pgmto: BR_EFT"/>
    <n v="1159"/>
    <x v="0"/>
    <n v="47"/>
    <n v="1150"/>
    <x v="0"/>
    <n v="1300"/>
  </r>
  <r>
    <x v="1"/>
    <x v="4"/>
    <n v="38001019001"/>
    <x v="23"/>
    <s v="Acerto ACF Documento: 202500000038327 - FORNECEDO:VOLL S.A 09306896000106"/>
    <n v="1159"/>
    <x v="0"/>
    <n v="47"/>
    <n v="1159"/>
    <x v="1"/>
    <n v="395.2"/>
  </r>
  <r>
    <x v="1"/>
    <x v="4"/>
    <n v="38001019001"/>
    <x v="23"/>
    <s v="Acerto ACF Documento: 202500000038327 - FORNECEDO:VOLL S.A 09306896000106"/>
    <n v="1159"/>
    <x v="0"/>
    <n v="47"/>
    <n v="1159"/>
    <x v="1"/>
    <n v="-392.73"/>
  </r>
  <r>
    <x v="1"/>
    <x v="4"/>
    <n v="38001019002"/>
    <x v="26"/>
    <s v="Acerto ACF Documento: 202500000038327 - FORNECEDO:VOLL S.A 09306896000106"/>
    <n v="1159"/>
    <x v="0"/>
    <n v="47"/>
    <n v="1159"/>
    <x v="1"/>
    <n v="945.83"/>
  </r>
  <r>
    <x v="1"/>
    <x v="2"/>
    <n v="38001018001"/>
    <x v="12"/>
    <s v="Item Despesa, NF: 1680481 , Fornecedor: ALELO INSTITUICAO DE PAGAMENTO SA - 04740876000125 , Desc NF: Ticket #306864 , Método Pgmto: BR_BOLETO"/>
    <n v="1159"/>
    <x v="0"/>
    <n v="47"/>
    <n v="1159"/>
    <x v="1"/>
    <n v="2270.39"/>
  </r>
  <r>
    <x v="1"/>
    <x v="3"/>
    <n v="38001011004"/>
    <x v="5"/>
    <s v="- AMORTIZACAO DAS PARCELAS SEGUROS 02 2026 /47150 - JURIDICO CORPORATIVO"/>
    <n v="1159"/>
    <x v="0"/>
    <n v="47"/>
    <n v="1150"/>
    <x v="0"/>
    <n v="38.97"/>
  </r>
  <r>
    <x v="1"/>
    <x v="10"/>
    <n v="38001022001"/>
    <x v="30"/>
    <s v="LTDA Despesas Administrativas"/>
    <n v="1000"/>
    <x v="1"/>
    <n v="51"/>
    <n v="1003"/>
    <x v="3"/>
    <n v="13036.2"/>
  </r>
  <r>
    <x v="2"/>
    <x v="0"/>
    <n v="38001013001"/>
    <x v="1"/>
    <s v="Evento - 8030 - Assistência Médica , Março , 47150 - Jurídico Corporativo , 4701150"/>
    <n v="1159"/>
    <x v="0"/>
    <n v="47"/>
    <n v="1150"/>
    <x v="0"/>
    <n v="-647.4"/>
  </r>
  <r>
    <x v="2"/>
    <x v="0"/>
    <n v="38001013001"/>
    <x v="1"/>
    <s v="Evento - 8086 - Assistência Médica Dependente , Março , 47150 - Jurídico Corporativo , 4701150"/>
    <n v="1159"/>
    <x v="0"/>
    <n v="47"/>
    <n v="1150"/>
    <x v="0"/>
    <n v="-870.96"/>
  </r>
  <r>
    <x v="2"/>
    <x v="0"/>
    <n v="38001013001"/>
    <x v="1"/>
    <s v="Evento - 8030 - Assistência Médica , Março , 47159 - Diretoria Jurídica , 4701159"/>
    <n v="1159"/>
    <x v="0"/>
    <n v="47"/>
    <n v="1159"/>
    <x v="1"/>
    <n v="-647.4"/>
  </r>
  <r>
    <x v="2"/>
    <x v="0"/>
    <n v="38001013001"/>
    <x v="1"/>
    <s v="Evento - 8030 - Assistência Médica , Março , 47160 - Jurídico Imobiliário , 4701160"/>
    <n v="1159"/>
    <x v="0"/>
    <n v="47"/>
    <n v="1160"/>
    <x v="2"/>
    <n v="-431.6"/>
  </r>
  <r>
    <x v="2"/>
    <x v="0"/>
    <n v="38001013001"/>
    <x v="1"/>
    <s v="Evento - 8086 - Assistência Médica Dependente , Março , 47160 - Jurídico Imobiliário , 4701160"/>
    <n v="1159"/>
    <x v="0"/>
    <n v="47"/>
    <n v="1160"/>
    <x v="2"/>
    <n v="-655.16"/>
  </r>
  <r>
    <x v="2"/>
    <x v="0"/>
    <n v="38001013001"/>
    <x v="1"/>
    <s v="Evento - 5530 - Contribuição Assistencial , Março , 47150 - Jurídico Corporativo , 4701150"/>
    <n v="1159"/>
    <x v="0"/>
    <n v="47"/>
    <n v="1150"/>
    <x v="0"/>
    <n v="-110.43"/>
  </r>
  <r>
    <x v="2"/>
    <x v="0"/>
    <n v="38001013001"/>
    <x v="1"/>
    <s v="Evento - 5530 - Contribuição Assistencial , Março , 47159 - Diretoria Jurídica , 4701159"/>
    <n v="1159"/>
    <x v="0"/>
    <n v="47"/>
    <n v="1159"/>
    <x v="1"/>
    <n v="-46.3"/>
  </r>
  <r>
    <x v="2"/>
    <x v="0"/>
    <n v="38001013001"/>
    <x v="1"/>
    <s v="Evento - 5530 - Contribuição Assistencial , Março , 47160 - Jurídico Imobiliário , 4701160"/>
    <n v="1159"/>
    <x v="0"/>
    <n v="47"/>
    <n v="1160"/>
    <x v="2"/>
    <n v="-24.02"/>
  </r>
  <r>
    <x v="2"/>
    <x v="0"/>
    <n v="38001013002"/>
    <x v="0"/>
    <s v="Rateio INSS Patronal 03.2026 - 4701150"/>
    <n v="1159"/>
    <x v="0"/>
    <n v="47"/>
    <n v="1150"/>
    <x v="0"/>
    <n v="6625.92"/>
  </r>
  <r>
    <x v="2"/>
    <x v="0"/>
    <n v="38001013002"/>
    <x v="0"/>
    <s v="Rateio INSS Patronal 03.2026 - 4701159"/>
    <n v="1159"/>
    <x v="0"/>
    <n v="47"/>
    <n v="1159"/>
    <x v="1"/>
    <n v="6547.63"/>
  </r>
  <r>
    <x v="2"/>
    <x v="0"/>
    <n v="38001013002"/>
    <x v="0"/>
    <s v="Rateio INSS Patronal 03.2026 - 4701160"/>
    <n v="1159"/>
    <x v="0"/>
    <n v="47"/>
    <n v="1160"/>
    <x v="2"/>
    <n v="6211.28"/>
  </r>
  <r>
    <x v="2"/>
    <x v="8"/>
    <n v="38001025002"/>
    <x v="17"/>
    <s v="Evento - T210 - Provisão de INSS de 13o. Salário - Mês , Março , 47150 - Jurídico Corporativo , 4701150"/>
    <n v="1159"/>
    <x v="0"/>
    <n v="47"/>
    <n v="1150"/>
    <x v="0"/>
    <n v="472.58"/>
  </r>
  <r>
    <x v="2"/>
    <x v="8"/>
    <n v="38001025002"/>
    <x v="17"/>
    <s v="Evento - T210 - Provisão de INSS de 13o. Salário - Mês , Março , 47159 - Diretoria Jurídica , 4701159"/>
    <n v="1159"/>
    <x v="0"/>
    <n v="47"/>
    <n v="1159"/>
    <x v="1"/>
    <n v="425.23"/>
  </r>
  <r>
    <x v="2"/>
    <x v="8"/>
    <n v="38001025002"/>
    <x v="17"/>
    <s v="Evento - T210 - Provisão de INSS de 13o. Salário - Mês , Março , 47160 - Jurídico Imobiliário , 4701160"/>
    <n v="1159"/>
    <x v="0"/>
    <n v="47"/>
    <n v="1160"/>
    <x v="2"/>
    <n v="431.47"/>
  </r>
  <r>
    <x v="2"/>
    <x v="7"/>
    <n v="38001023002"/>
    <x v="16"/>
    <s v="Evento - T110 - Provisão de INSS de Férias - Mês , Março , 47150 - Jurídico Corporativo , 4701150"/>
    <n v="1159"/>
    <x v="0"/>
    <n v="47"/>
    <n v="1150"/>
    <x v="0"/>
    <n v="784.83"/>
  </r>
  <r>
    <x v="2"/>
    <x v="7"/>
    <n v="38001023002"/>
    <x v="16"/>
    <s v="Evento - T110 - Provisão de INSS de Férias - Mês , Março , 47159 - Diretoria Jurídica , 4701159"/>
    <n v="1159"/>
    <x v="0"/>
    <n v="47"/>
    <n v="1159"/>
    <x v="1"/>
    <n v="566.97"/>
  </r>
  <r>
    <x v="2"/>
    <x v="7"/>
    <n v="38001023002"/>
    <x v="16"/>
    <s v="Evento - T110 - Provisão de INSS de Férias - Mês , Março , 47160 - Jurídico Imobiliário , 4701160"/>
    <n v="1159"/>
    <x v="0"/>
    <n v="47"/>
    <n v="1160"/>
    <x v="2"/>
    <n v="575.29999999999995"/>
  </r>
  <r>
    <x v="2"/>
    <x v="8"/>
    <n v="38001025004"/>
    <x v="19"/>
    <s v="Evento - T220 - Provisão de FGTS de 13o. Salário  - Mês , Março , 47150 - Jurídico Corporativo , 4701150"/>
    <n v="1159"/>
    <x v="0"/>
    <n v="47"/>
    <n v="1150"/>
    <x v="0"/>
    <n v="442.1"/>
  </r>
  <r>
    <x v="2"/>
    <x v="8"/>
    <n v="38001025004"/>
    <x v="19"/>
    <s v="Evento - T220 - Provisão de FGTS de 13o. Salário  - Mês , Março , 47159 - Diretoria Jurídica , 4701159"/>
    <n v="1159"/>
    <x v="0"/>
    <n v="47"/>
    <n v="1159"/>
    <x v="1"/>
    <n v="397.8"/>
  </r>
  <r>
    <x v="2"/>
    <x v="8"/>
    <n v="38001025004"/>
    <x v="19"/>
    <s v="Evento - T220 - Provisão de FGTS de 13o. Salário  - Mês , Março , 47160 - Jurídico Imobiliário , 4701160"/>
    <n v="1159"/>
    <x v="0"/>
    <n v="47"/>
    <n v="1160"/>
    <x v="2"/>
    <n v="403.63"/>
  </r>
  <r>
    <x v="2"/>
    <x v="1"/>
    <n v="38001027007"/>
    <x v="8"/>
    <s v="Evento - 5725 - Vale Transporte , Março , 47150 - Jurídico Corporativo , 4701150"/>
    <n v="1159"/>
    <x v="0"/>
    <n v="47"/>
    <n v="1150"/>
    <x v="0"/>
    <n v="-436.94"/>
  </r>
  <r>
    <x v="2"/>
    <x v="7"/>
    <n v="38001023004"/>
    <x v="18"/>
    <s v="Evento - T120 - Provisão de FGTS de Férias - Mês , Março , 47150 - Jurídico Corporativo , 4701150"/>
    <n v="1159"/>
    <x v="0"/>
    <n v="47"/>
    <n v="1150"/>
    <x v="0"/>
    <n v="734.21"/>
  </r>
  <r>
    <x v="2"/>
    <x v="7"/>
    <n v="38001023004"/>
    <x v="18"/>
    <s v="Evento - T120 - Provisão de FGTS de Férias - Mês , Março , 47159 - Diretoria Jurídica , 4701159"/>
    <n v="1159"/>
    <x v="0"/>
    <n v="47"/>
    <n v="1159"/>
    <x v="1"/>
    <n v="530.41"/>
  </r>
  <r>
    <x v="2"/>
    <x v="7"/>
    <n v="38001023004"/>
    <x v="18"/>
    <s v="Evento - T120 - Provisão de FGTS de Férias - Mês , Março , 47160 - Jurídico Imobiliário , 4701160"/>
    <n v="1159"/>
    <x v="0"/>
    <n v="47"/>
    <n v="1160"/>
    <x v="2"/>
    <n v="538.21"/>
  </r>
  <r>
    <x v="2"/>
    <x v="5"/>
    <n v="38001002001"/>
    <x v="7"/>
    <s v="Item Despesa, NF: 309638 , Fornecedor: 30 TABELIÃO DE NOTAS DA CAPITAL - 45576691000104 , Desc NF: Ticket 309638 , Método Pgmto: BR_EFT"/>
    <n v="1159"/>
    <x v="0"/>
    <n v="47"/>
    <n v="1160"/>
    <x v="2"/>
    <n v="656.36"/>
  </r>
  <r>
    <x v="2"/>
    <x v="9"/>
    <n v="38001001004"/>
    <x v="24"/>
    <s v="Item Despesa, NF: 336061 , Fornecedor: SERASA S.A. - 62173620009306 , Desc NF:  Ticket #309736 , Método Pgmto: BR_BOLETO"/>
    <n v="1159"/>
    <x v="0"/>
    <n v="47"/>
    <n v="1150"/>
    <x v="0"/>
    <n v="1515.06"/>
  </r>
  <r>
    <x v="2"/>
    <x v="9"/>
    <n v="38001001004"/>
    <x v="24"/>
    <s v="Item Despesa, NF: 336061 , Fornecedor: SERASA S.A. - 62173620009306 , Desc NF:  Ticket #309736 , Método Pgmto: BR_BOLETO"/>
    <n v="1159"/>
    <x v="0"/>
    <n v="47"/>
    <n v="1160"/>
    <x v="2"/>
    <n v="1210.6500000000001"/>
  </r>
  <r>
    <x v="2"/>
    <x v="2"/>
    <n v="38001018007"/>
    <x v="3"/>
    <s v="Item Despesa, NF: 3000515 , Fornecedor: ALELO INSTITUICAO DE PAGAMENTO SA - 04740876000125 , Desc NF: Ticket #309842 , Método Pgmto: BR_BOLETO"/>
    <n v="1159"/>
    <x v="0"/>
    <n v="47"/>
    <n v="1159"/>
    <x v="1"/>
    <n v="577.5"/>
  </r>
  <r>
    <x v="2"/>
    <x v="3"/>
    <n v="38001011004"/>
    <x v="5"/>
    <s v="Item Despesa, NF: 260590051287951 , Fornecedor: SECRETARIA DA FAZENDA E PLANEJAMENTO - 46377222000129 , Desc NF: Ticket 310092 , Método Pgmto: BR_BOLETO"/>
    <n v="1159"/>
    <x v="0"/>
    <n v="47"/>
    <n v="1150"/>
    <x v="0"/>
    <n v="583.98"/>
  </r>
  <r>
    <x v="2"/>
    <x v="5"/>
    <n v="38001002001"/>
    <x v="7"/>
    <s v="Item Despesa, NF: 310080 , Fornecedor: ESTADO DE MATO GROSSO , Desc NF: Ticket 310080 , Método Pgmto: BR_TAX_BARCODE"/>
    <n v="1159"/>
    <x v="0"/>
    <n v="47"/>
    <n v="1160"/>
    <x v="2"/>
    <n v="34"/>
  </r>
  <r>
    <x v="2"/>
    <x v="3"/>
    <n v="38001011003"/>
    <x v="14"/>
    <s v="Item Despesa, NF: 614 , Fornecedor: SERUR ADVOGADOS - 03003646000110 , Desc NF: Ticket 310074 , Método Pgmto: BR_EFT"/>
    <n v="1159"/>
    <x v="0"/>
    <n v="47"/>
    <n v="1150"/>
    <x v="0"/>
    <n v="8000"/>
  </r>
  <r>
    <x v="2"/>
    <x v="3"/>
    <n v="38001011003"/>
    <x v="14"/>
    <s v="Item Despesa, NF: 612 , Fornecedor: SERUR ADVOGADOS - 03003646000110 , Desc NF: Ticket 310073 , Método Pgmto: BR_EFT"/>
    <n v="1159"/>
    <x v="0"/>
    <n v="47"/>
    <n v="1150"/>
    <x v="0"/>
    <n v="15000"/>
  </r>
  <r>
    <x v="2"/>
    <x v="3"/>
    <n v="38001011003"/>
    <x v="14"/>
    <s v="Item Despesa, NF: 134 , Fornecedor: STOCCHE, FORBES, PASSARO E CAMPOS SOCIEDADE DE ADVOGADOS - 34986424000199 , Desc NF:  Ticket #309323 , Método Pgmto: BR_EFT"/>
    <n v="1159"/>
    <x v="0"/>
    <n v="47"/>
    <n v="1150"/>
    <x v="0"/>
    <n v="22691.07"/>
  </r>
  <r>
    <x v="2"/>
    <x v="3"/>
    <n v="38001011004"/>
    <x v="5"/>
    <s v="Item Despesa, NF: 260590055365923 , Fornecedor: SECRETARIA DA FAZENDA E PLANEJAMENTO - 46377222000129 , Desc NF:  Ticket #311646 , Método Pgmto: BR_BOLETO"/>
    <n v="1159"/>
    <x v="0"/>
    <n v="47"/>
    <n v="1150"/>
    <x v="0"/>
    <n v="583.98"/>
  </r>
  <r>
    <x v="2"/>
    <x v="3"/>
    <n v="38001011004"/>
    <x v="5"/>
    <s v="Item Despesa, NF: 260590047955800 , Fornecedor: SECRETARIA DA FAZENDA E PLANEJAMENTO - 46377222000129 , Desc NF: Ticket #309037 , Método Pgmto: BR_BOLETO"/>
    <n v="1159"/>
    <x v="0"/>
    <n v="47"/>
    <n v="1150"/>
    <x v="0"/>
    <n v="273.55"/>
  </r>
  <r>
    <x v="2"/>
    <x v="3"/>
    <n v="38001011003"/>
    <x v="14"/>
    <s v="Item Despesa, NF: 4700 , Fornecedor: GAHYVA E BRANDAO ADVOGADOS - 12266965000100 , Desc NF: Ticket #311853 , Método Pgmto: BR_EFT"/>
    <n v="1159"/>
    <x v="0"/>
    <n v="47"/>
    <n v="1160"/>
    <x v="2"/>
    <n v="100000"/>
  </r>
  <r>
    <x v="2"/>
    <x v="3"/>
    <n v="38001011004"/>
    <x v="5"/>
    <s v="Item Despesa, NF: 5079 , Fornecedor: C LIMA SERVICOS LTDA - 04385911000135 , Desc NF: Ticket #309811 , Método Pgmto: BR_EFT"/>
    <n v="1159"/>
    <x v="0"/>
    <n v="47"/>
    <n v="1150"/>
    <x v="0"/>
    <n v="2500"/>
  </r>
  <r>
    <x v="2"/>
    <x v="3"/>
    <n v="38001011002"/>
    <x v="4"/>
    <s v="Item Despesa, NF: 4375 , Fornecedor: REIS, SOUZA, TAKEISHI &amp; ARSUFFI SOCIEDADE DE ADVOGADOS - 09639999000198 , Desc NF: Ticket #310127 , Método Pgmto: BR_EFT"/>
    <n v="1159"/>
    <x v="0"/>
    <n v="47"/>
    <n v="1150"/>
    <x v="0"/>
    <n v="59803.95"/>
  </r>
  <r>
    <x v="2"/>
    <x v="6"/>
    <n v="38001008004"/>
    <x v="9"/>
    <s v="Imposto a recuperar, NF: 13667-1-20260306-04998253000319 , Fornecedor: BELLA PAULISTA RESTAURANTE PAES DOCES E CONVENIENCIAS LTDA - 04998253000319 , Desc NF: Ticket #309877"/>
    <n v="1159"/>
    <x v="0"/>
    <n v="47"/>
    <n v="1159"/>
    <x v="1"/>
    <n v="0.67"/>
  </r>
  <r>
    <x v="2"/>
    <x v="6"/>
    <n v="38001008004"/>
    <x v="9"/>
    <s v="Item Despesa, NF: 13667-1-20260306-04998253000319 , Fornecedor: BELLA PAULISTA RESTAURANTE PAES DOCES E CONVENIENCIAS LTDA - 04998253000319 , Desc NF: Ticket #309877 , Método Pgmto: BR_BOLETO"/>
    <n v="1159"/>
    <x v="0"/>
    <n v="47"/>
    <n v="1159"/>
    <x v="1"/>
    <n v="4.33"/>
  </r>
  <r>
    <x v="2"/>
    <x v="6"/>
    <n v="38001008004"/>
    <x v="9"/>
    <s v="Imposto a recuperar, NF: 13667-1-20260306-04998253000319 , Fornecedor: BELLA PAULISTA RESTAURANTE PAES DOCES E CONVENIENCIAS LTDA - 04998253000319 , Desc NF: Ticket #309877"/>
    <n v="1159"/>
    <x v="0"/>
    <n v="47"/>
    <n v="1159"/>
    <x v="1"/>
    <n v="15.66"/>
  </r>
  <r>
    <x v="2"/>
    <x v="6"/>
    <n v="38001008004"/>
    <x v="9"/>
    <s v="Item Despesa, NF: 13667-1-20260306-04998253000319 , Fornecedor: BELLA PAULISTA RESTAURANTE PAES DOCES E CONVENIENCIAS LTDA - 04998253000319 , Desc NF: Ticket #309877 , Método Pgmto: BR_BOLETO"/>
    <n v="1159"/>
    <x v="0"/>
    <n v="47"/>
    <n v="1159"/>
    <x v="1"/>
    <n v="107.73"/>
  </r>
  <r>
    <x v="2"/>
    <x v="3"/>
    <n v="38001011004"/>
    <x v="5"/>
    <s v="Item Despesa, NF: 239523 , Fornecedor: LUZ PUBLICIDADE SP SUL LTDA - 50750298000125 , Desc NF: Ticket 309324 , Método Pgmto: BR_EFT"/>
    <n v="1159"/>
    <x v="0"/>
    <n v="47"/>
    <n v="1150"/>
    <x v="0"/>
    <n v="2340"/>
  </r>
  <r>
    <x v="2"/>
    <x v="3"/>
    <n v="38001011002"/>
    <x v="4"/>
    <s v="Item Despesa, NF: 770 , Fornecedor: RIBEIRO PINTO ADVOGADOS ASSOCIADOS - 04612076000129 , Desc NF: Ticket 310079 , Método Pgmto: BR_EFT"/>
    <n v="1159"/>
    <x v="0"/>
    <n v="47"/>
    <n v="1150"/>
    <x v="0"/>
    <n v="27328.080000000002"/>
  </r>
  <r>
    <x v="2"/>
    <x v="3"/>
    <n v="38001011002"/>
    <x v="4"/>
    <s v="Item Despesa, NF: 769 , Fornecedor: RIBEIRO PINTO ADVOGADOS ASSOCIADOS - 04612076000129 , Desc NF: Ticket 310078 , Método Pgmto: BR_EFT"/>
    <n v="1159"/>
    <x v="0"/>
    <n v="47"/>
    <n v="1150"/>
    <x v="0"/>
    <n v="43926.239999999998"/>
  </r>
  <r>
    <x v="2"/>
    <x v="3"/>
    <n v="38001011003"/>
    <x v="14"/>
    <s v="Item Despesa, NF: 641 , Fornecedor: SERUR ADVOGADOS - 03003646000110 , Desc NF:  Ticket #309804 , Método Pgmto: BR_EFT"/>
    <n v="1159"/>
    <x v="0"/>
    <n v="47"/>
    <n v="1150"/>
    <x v="0"/>
    <n v="9500"/>
  </r>
  <r>
    <x v="2"/>
    <x v="3"/>
    <n v="38001011004"/>
    <x v="5"/>
    <s v="Item Despesa, NF: 2610 , Fornecedor: CONTATO DIARIO LTDA - 03501722000118 , Desc NF: Ticket 310450 , Método Pgmto: BR_EFT"/>
    <n v="1159"/>
    <x v="0"/>
    <n v="47"/>
    <n v="1150"/>
    <x v="0"/>
    <n v="200"/>
  </r>
  <r>
    <x v="2"/>
    <x v="3"/>
    <n v="38001011004"/>
    <x v="5"/>
    <s v="Item Despesa, NF: 895 , Fornecedor: REIS, SOUZA, TAKEISHI &amp; ARSUFFI SOCIEDADE DE ADVOGADOS - 09639999000198 , Desc NF: Ticket #310133 , Método Pgmto: BR_EFT"/>
    <n v="1159"/>
    <x v="0"/>
    <n v="47"/>
    <n v="1150"/>
    <x v="0"/>
    <n v="4386.76"/>
  </r>
  <r>
    <x v="2"/>
    <x v="3"/>
    <n v="38001011003"/>
    <x v="14"/>
    <s v="Item Despesa, NF: 616 , Fornecedor: SERUR ADVOGADOS - 03003646000110 , Desc NF: Ticket 309369 , Método Pgmto: BR_EFT"/>
    <n v="1159"/>
    <x v="0"/>
    <n v="47"/>
    <n v="1160"/>
    <x v="2"/>
    <n v="3500"/>
  </r>
  <r>
    <x v="2"/>
    <x v="3"/>
    <n v="38001011003"/>
    <x v="14"/>
    <s v="Item Despesa, NF: 615 , Fornecedor: SERUR ADVOGADOS - 03003646000110 , Desc NF: Ticket 309370 , Método Pgmto: BR_EFT"/>
    <n v="1159"/>
    <x v="0"/>
    <n v="47"/>
    <n v="1160"/>
    <x v="2"/>
    <n v="12500"/>
  </r>
  <r>
    <x v="2"/>
    <x v="3"/>
    <n v="38001011003"/>
    <x v="14"/>
    <s v="Item Despesa, NF: 618 , Fornecedor: SERUR ADVOGADOS - 03003646000110 , Desc NF: Ticket 309372 , Método Pgmto: BR_EFT"/>
    <n v="1159"/>
    <x v="0"/>
    <n v="47"/>
    <n v="1160"/>
    <x v="2"/>
    <n v="20000"/>
  </r>
  <r>
    <x v="2"/>
    <x v="1"/>
    <n v="38001027007"/>
    <x v="8"/>
    <s v="Item Despesa, NF: 1000117121 , Fornecedor: JOAO VICTOR ANDREGUETO GIANFRATTI - 50048233838 , Desc NF: Ticket #309276 , Método Pgmto: BR_EFT"/>
    <n v="1159"/>
    <x v="0"/>
    <n v="47"/>
    <n v="1150"/>
    <x v="0"/>
    <n v="470.8"/>
  </r>
  <r>
    <x v="2"/>
    <x v="1"/>
    <n v="38001027008"/>
    <x v="15"/>
    <s v="Item Despesa, NF: 1000117121 , Fornecedor: JOAO VICTOR ANDREGUETO GIANFRATTI - 50048233838 , Desc NF: Ticket #309276 , Método Pgmto: BR_EFT"/>
    <n v="1159"/>
    <x v="0"/>
    <n v="47"/>
    <n v="1150"/>
    <x v="0"/>
    <n v="880"/>
  </r>
  <r>
    <x v="2"/>
    <x v="4"/>
    <n v="38001019002"/>
    <x v="26"/>
    <s v="Item Despesa, NF: 12744 , Fornecedor: VOLL S.A. - 09306896000106 , Desc NF: Ticket #312899 , Método Pgmto: BR_BOLETO"/>
    <n v="1159"/>
    <x v="0"/>
    <n v="47"/>
    <n v="1159"/>
    <x v="1"/>
    <n v="2963.09"/>
  </r>
  <r>
    <x v="2"/>
    <x v="5"/>
    <n v="38001002001"/>
    <x v="7"/>
    <s v="Item Despesa, NF: 35161 , Fornecedor: 2 TABELIAO DE NOTAS - 51857563000131 , Desc NF: Ticket #310534 , Método Pgmto: BR_EFT"/>
    <n v="1159"/>
    <x v="0"/>
    <n v="47"/>
    <n v="1160"/>
    <x v="2"/>
    <n v="10.54"/>
  </r>
  <r>
    <x v="2"/>
    <x v="9"/>
    <n v="38001001004"/>
    <x v="24"/>
    <s v="Item Despesa, NF: 337442 , Fornecedor: SERASA S.A. - 62173620009306 , Desc NF: Ticket #309740 , Método Pgmto: BR_BOLETO"/>
    <n v="1159"/>
    <x v="0"/>
    <n v="47"/>
    <n v="1150"/>
    <x v="0"/>
    <n v="3301.18"/>
  </r>
  <r>
    <x v="2"/>
    <x v="1"/>
    <n v="38001027007"/>
    <x v="8"/>
    <s v="Item Despesa, NF: 392964 , Fornecedor: RB REDE DE BENEFICIOS E GESTAO EMPRESARIAL LTDA - 00342669000161 , Desc NF: Ticket #308682 - BAIXA ADTO305034 , Método Pgmto: BR_BOLETO"/>
    <n v="1159"/>
    <x v="0"/>
    <n v="47"/>
    <n v="1150"/>
    <x v="0"/>
    <n v="104.81"/>
  </r>
  <r>
    <x v="2"/>
    <x v="1"/>
    <n v="38001027007"/>
    <x v="8"/>
    <s v="Item Despesa, NF: 45686 , Fornecedor: RB REDE DE BENEFICIOS E GESTAO EMPRESARIAL LTDA - 00342669000161 , Desc NF: Ticket #308682 - BAIXA ADTO305034 , Método Pgmto: BR_BOLETO"/>
    <n v="1159"/>
    <x v="0"/>
    <n v="47"/>
    <n v="1150"/>
    <x v="0"/>
    <n v="468.57"/>
  </r>
  <r>
    <x v="2"/>
    <x v="3"/>
    <n v="38001011004"/>
    <x v="5"/>
    <s v="Item Despesa, NF: 1000120291 , Fornecedor: SECRETARIA DA FAZENDA E PLANEJAMENTO - 46377222000129 , Desc NF: Ticket #311641 - DARE - JUCESP  Ref. Registro Constituição Pacaembu Leme 600 , Método Pgmto: BR_BOLETO"/>
    <n v="1159"/>
    <x v="0"/>
    <n v="47"/>
    <n v="1150"/>
    <x v="0"/>
    <n v="273.55"/>
  </r>
  <r>
    <x v="2"/>
    <x v="3"/>
    <n v="38001011004"/>
    <x v="5"/>
    <s v="Item Despesa, NF: 1000120301 , Fornecedor: SECRETARIA DA FAZENDA E PLANEJAMENTO - 46377222000129 , Desc NF: Ticket #311644 - DARE - JUCESP  Ref. Registro Constituição Pacaembu Araras 585 , Método Pgmto: BR_BOLETO"/>
    <n v="1159"/>
    <x v="0"/>
    <n v="47"/>
    <n v="1150"/>
    <x v="0"/>
    <n v="273.55"/>
  </r>
  <r>
    <x v="2"/>
    <x v="3"/>
    <n v="38001011004"/>
    <x v="5"/>
    <s v="Item Despesa, NF: 1000123241 , Fornecedor: SECRETARIA DA FAZENDA E PLANEJAMENTO - 46377222000129 , Desc NF: Ticket #314061 - DARE - JUCESP  Ref. Registro Constituição Pacaembu  Assis Romeu Luis - 570 , Método Pgmto: BR_BOLETO"/>
    <n v="1159"/>
    <x v="0"/>
    <n v="47"/>
    <n v="1150"/>
    <x v="0"/>
    <n v="273.55"/>
  </r>
  <r>
    <x v="2"/>
    <x v="7"/>
    <n v="38001023001"/>
    <x v="20"/>
    <s v="EVENTO - T110 - RATEIO RH - Provisão de Férias - Mês 12 2025"/>
    <n v="1159"/>
    <x v="0"/>
    <n v="47"/>
    <n v="1150"/>
    <x v="0"/>
    <n v="-4731.3100000000004"/>
  </r>
  <r>
    <x v="2"/>
    <x v="7"/>
    <n v="38001023001"/>
    <x v="20"/>
    <s v="EVENTO - T100 - RATEIO RH - Provisão de Férias - Mês 02 2026"/>
    <n v="1159"/>
    <x v="0"/>
    <n v="47"/>
    <n v="1150"/>
    <x v="0"/>
    <n v="-5749.87"/>
  </r>
  <r>
    <x v="2"/>
    <x v="7"/>
    <n v="38001023001"/>
    <x v="20"/>
    <s v="EVENTO - T100 - RATEIO RH - Provisão de Férias - Mês 01 2026"/>
    <n v="1159"/>
    <x v="0"/>
    <n v="47"/>
    <n v="1150"/>
    <x v="0"/>
    <n v="-38449.78"/>
  </r>
  <r>
    <x v="2"/>
    <x v="7"/>
    <n v="38001023001"/>
    <x v="20"/>
    <s v="EVENTO - T100 - RATEIO RH - Provisão de Férias - Mês 02 2026"/>
    <n v="1159"/>
    <x v="0"/>
    <n v="47"/>
    <n v="1159"/>
    <x v="1"/>
    <n v="-12340.29"/>
  </r>
  <r>
    <x v="2"/>
    <x v="7"/>
    <n v="38001023001"/>
    <x v="20"/>
    <s v="EVENTO - T100 - RATEIO RH - Provisão de Férias - Mês 01 2026"/>
    <n v="1159"/>
    <x v="0"/>
    <n v="47"/>
    <n v="1160"/>
    <x v="2"/>
    <n v="-9452.82"/>
  </r>
  <r>
    <x v="2"/>
    <x v="7"/>
    <n v="38001023001"/>
    <x v="20"/>
    <s v="EVENTO - T110 - RATEIO RH - Provisão de Férias - Mês 12 2025"/>
    <n v="1159"/>
    <x v="0"/>
    <n v="47"/>
    <n v="1160"/>
    <x v="2"/>
    <n v="-10646.76"/>
  </r>
  <r>
    <x v="2"/>
    <x v="11"/>
    <n v="38001003004"/>
    <x v="32"/>
    <s v="Item Despesa, NF: 13709 , Fornecedor: SAOC CONSULTORIA EM SEGURANCA E SAUDE DO TRABALHO LTDA - 34653781000135 , Desc NF: Ticket #310375 , Método Pgmto: BR_BOLETO"/>
    <n v="1159"/>
    <x v="0"/>
    <n v="47"/>
    <n v="1150"/>
    <x v="0"/>
    <n v="298"/>
  </r>
  <r>
    <x v="2"/>
    <x v="11"/>
    <n v="38001003004"/>
    <x v="32"/>
    <s v="Item Despesa, NF: 13709 , Fornecedor: SAOC CONSULTORIA EM SEGURANCA E SAUDE DO TRABALHO LTDA - 34653781000135 , Desc NF: Ticket #310375 , Método Pgmto: BR_BOLETO"/>
    <n v="1159"/>
    <x v="0"/>
    <n v="47"/>
    <n v="1160"/>
    <x v="2"/>
    <n v="55"/>
  </r>
  <r>
    <x v="2"/>
    <x v="3"/>
    <n v="38001011004"/>
    <x v="5"/>
    <s v="Item Despesa, NF: 240151 , Fornecedor: LUZ PUBLICIDADE SP SUL LTDA - 50750298000125 , Desc NF:  Ticket #313386 , Método Pgmto: BR_EFT"/>
    <n v="1159"/>
    <x v="0"/>
    <n v="47"/>
    <n v="1150"/>
    <x v="0"/>
    <n v="3780"/>
  </r>
  <r>
    <x v="2"/>
    <x v="2"/>
    <n v="38001018001"/>
    <x v="12"/>
    <s v="Item Despesa, NF: 2908923 , Fornecedor: ALELO INSTITUICAO DE PAGAMENTO SA - 04740876000125 , Desc NF: Ticket #313171 , Método Pgmto: BR_BOLETO"/>
    <n v="1159"/>
    <x v="0"/>
    <n v="47"/>
    <n v="1159"/>
    <x v="1"/>
    <n v="2314.4299999999998"/>
  </r>
  <r>
    <x v="2"/>
    <x v="3"/>
    <n v="38001011004"/>
    <x v="5"/>
    <s v="Item Despesa, NF: 37 , Fornecedor: EDMAR BARBOSA MACHADO CONSULTORIA EM TECNOLOGIA DA INFORMACAO LTDA - 54916624000182 , Desc NF: Ticket #311353 , Método Pgmto: BR_EFT"/>
    <n v="1159"/>
    <x v="0"/>
    <n v="47"/>
    <n v="1150"/>
    <x v="0"/>
    <n v="680"/>
  </r>
  <r>
    <x v="2"/>
    <x v="11"/>
    <n v="38001003004"/>
    <x v="32"/>
    <s v="Item Despesa, NF: 54271 , Fornecedor: PWD SAUDE E SEGURANCA OCUPACIONAL LTDA - 20998877000120 , Desc NF:  Ticket #311650 , Método Pgmto: BR_BOLETO"/>
    <n v="1159"/>
    <x v="0"/>
    <n v="47"/>
    <n v="1150"/>
    <x v="0"/>
    <n v="117"/>
  </r>
  <r>
    <x v="2"/>
    <x v="8"/>
    <n v="38001025001"/>
    <x v="22"/>
    <s v="EVENTO - T200 - RATEIO RH - Provisão de 13o. Salário - Mês 01 2026"/>
    <n v="1159"/>
    <x v="0"/>
    <n v="47"/>
    <n v="1159"/>
    <x v="1"/>
    <n v="12540"/>
  </r>
  <r>
    <x v="2"/>
    <x v="3"/>
    <n v="38001011003"/>
    <x v="14"/>
    <s v="Item Despesa, NF: 446 , Fornecedor: BM ASSESSORIA EMPRESARIAL LTDA - 32930743000157 , Desc NF: Ticket #311675 , Método Pgmto: BR_EFT"/>
    <n v="1159"/>
    <x v="0"/>
    <n v="47"/>
    <n v="1150"/>
    <x v="0"/>
    <n v="500"/>
  </r>
  <r>
    <x v="2"/>
    <x v="3"/>
    <n v="38001011002"/>
    <x v="4"/>
    <s v="Item Despesa, NF: 313155 , Fornecedor: CARLA MOROZETTI BLANCO - 25585715836 , Desc NF: Ticket 313155 , Método Pgmto: BR_EFT"/>
    <n v="1159"/>
    <x v="0"/>
    <n v="47"/>
    <n v="1160"/>
    <x v="2"/>
    <n v="5000"/>
  </r>
  <r>
    <x v="2"/>
    <x v="3"/>
    <n v="38001011003"/>
    <x v="14"/>
    <s v="Item Despesa, NF: 646 , Fornecedor: SERUR ADVOGADOS - 03003646000110 , Desc NF: Ticket #311205 , Método Pgmto: BR_EFT"/>
    <n v="1159"/>
    <x v="0"/>
    <n v="47"/>
    <n v="1160"/>
    <x v="2"/>
    <n v="15000"/>
  </r>
  <r>
    <x v="2"/>
    <x v="3"/>
    <n v="38001011003"/>
    <x v="14"/>
    <s v="Item Despesa, NF: 4381 , Fornecedor: REIS, SOUZA, TAKEISHI &amp; ARSUFFI SOCIEDADE DE ADVOGADOS - 09639999000198 , Desc NF: Ticket #311180 , Método Pgmto: BR_EFT"/>
    <n v="1159"/>
    <x v="0"/>
    <n v="47"/>
    <n v="1160"/>
    <x v="2"/>
    <n v="50000"/>
  </r>
  <r>
    <x v="2"/>
    <x v="5"/>
    <n v="38001002001"/>
    <x v="7"/>
    <s v="Item Despesa, NF: 313119 , Fornecedor: BEATRIZ LEAL CREPALDI DE OLIVEIRA - 51124074848 , Desc NF: Ticket 313119 , Método Pgmto: BR_EFT"/>
    <n v="1159"/>
    <x v="0"/>
    <n v="47"/>
    <n v="1160"/>
    <x v="2"/>
    <n v="318.66000000000003"/>
  </r>
  <r>
    <x v="2"/>
    <x v="5"/>
    <n v="38001002001"/>
    <x v="7"/>
    <s v="Item Despesa, NF: 313123 , Fornecedor: BEATRIZ LEAL CREPALDI DE OLIVEIRA - 51124074848 , Desc NF: Ticket 313123 , Método Pgmto: BR_EFT"/>
    <n v="1159"/>
    <x v="0"/>
    <n v="47"/>
    <n v="1160"/>
    <x v="2"/>
    <n v="12.3"/>
  </r>
  <r>
    <x v="2"/>
    <x v="5"/>
    <n v="38001002001"/>
    <x v="7"/>
    <s v="Item Despesa, NF: 313122 , Fornecedor: BEATRIZ LEAL CREPALDI DE OLIVEIRA - 51124074848 , Desc NF: Ticket 313122 , Método Pgmto: BR_EFT"/>
    <n v="1159"/>
    <x v="0"/>
    <n v="47"/>
    <n v="1160"/>
    <x v="2"/>
    <n v="60"/>
  </r>
  <r>
    <x v="2"/>
    <x v="5"/>
    <n v="38001002001"/>
    <x v="7"/>
    <s v="Item Despesa, NF: 313121 , Fornecedor: BEATRIZ LEAL CREPALDI DE OLIVEIRA - 51124074848 , Desc NF: Ticket 313121 , Método Pgmto: BR_EFT"/>
    <n v="1159"/>
    <x v="0"/>
    <n v="47"/>
    <n v="1160"/>
    <x v="2"/>
    <n v="272.27999999999997"/>
  </r>
  <r>
    <x v="2"/>
    <x v="9"/>
    <n v="38001001004"/>
    <x v="24"/>
    <s v="Item Despesa, NF: 184216 , Fornecedor: SERASA S.A. - 62173620009306 , Desc NF: Ticket #312079 , Método Pgmto: BR_BOLETO"/>
    <n v="1159"/>
    <x v="0"/>
    <n v="47"/>
    <n v="1150"/>
    <x v="0"/>
    <n v="3722.88"/>
  </r>
  <r>
    <x v="2"/>
    <x v="1"/>
    <n v="38001027008"/>
    <x v="15"/>
    <s v="Item Despesa, NF: 94934331 , Fornecedor: VR BENEFICIOS E SERVICOS DE PROCESSAMENTO S.A - 02535864000133 , Desc NF: Ticket #314190 - DEBITO AUTOMÁTICO , Método Pgmto: BR_BOLETO"/>
    <n v="1159"/>
    <x v="0"/>
    <n v="47"/>
    <n v="1150"/>
    <x v="0"/>
    <n v="6800"/>
  </r>
  <r>
    <x v="2"/>
    <x v="1"/>
    <n v="38001027008"/>
    <x v="15"/>
    <s v="Item Despesa, NF: 94934331 , Fornecedor: VR BENEFICIOS E SERVICOS DE PROCESSAMENTO S.A - 02535864000133 , Desc NF: Ticket #314190 - DEBITO AUTOMÁTICO , Método Pgmto: BR_BOLETO"/>
    <n v="1159"/>
    <x v="0"/>
    <n v="47"/>
    <n v="1159"/>
    <x v="1"/>
    <n v="1850"/>
  </r>
  <r>
    <x v="2"/>
    <x v="1"/>
    <n v="38001027008"/>
    <x v="15"/>
    <s v="Item Despesa, NF: 94934331 , Fornecedor: VR BENEFICIOS E SERVICOS DE PROCESSAMENTO S.A - 02535864000133 , Desc NF: Ticket #314190 - DEBITO AUTOMÁTICO , Método Pgmto: BR_BOLETO"/>
    <n v="1159"/>
    <x v="0"/>
    <n v="47"/>
    <n v="1160"/>
    <x v="2"/>
    <n v="5200"/>
  </r>
  <r>
    <x v="2"/>
    <x v="1"/>
    <n v="38001027003"/>
    <x v="28"/>
    <s v="Item Despesa, NF: 65964287294350 , Fornecedor: SUL AMERICA COMPANHIA DE SEGURO SAUDE - 01685053000156 , Desc NF: Ticket 313160 , Método Pgmto: BR_BOLETO"/>
    <n v="1159"/>
    <x v="0"/>
    <n v="47"/>
    <n v="1150"/>
    <x v="0"/>
    <n v="7422.56"/>
  </r>
  <r>
    <x v="2"/>
    <x v="1"/>
    <n v="38001027005"/>
    <x v="2"/>
    <s v="Item Despesa, NF: 85173522784 , Fornecedor: CAIXA VIDA E PREVIDENCIA S/A - 03730204000176 , Desc NF: Ticket 313161 , Método Pgmto: BR_BOLETO"/>
    <n v="1159"/>
    <x v="0"/>
    <n v="47"/>
    <n v="1150"/>
    <x v="0"/>
    <n v="192.72"/>
  </r>
  <r>
    <x v="2"/>
    <x v="1"/>
    <n v="38001027003"/>
    <x v="28"/>
    <s v="Item Despesa, NF: 65964287294350 , Fornecedor: SUL AMERICA COMPANHIA DE SEGURO SAUDE - 01685053000156 , Desc NF: Ticket 313160 , Método Pgmto: BR_BOLETO"/>
    <n v="1159"/>
    <x v="0"/>
    <n v="47"/>
    <n v="1159"/>
    <x v="1"/>
    <n v="8595.2199999999993"/>
  </r>
  <r>
    <x v="2"/>
    <x v="1"/>
    <n v="38001027003"/>
    <x v="28"/>
    <s v="Item Despesa, NF: 65964287294350 , Fornecedor: SUL AMERICA COMPANHIA DE SEGURO SAUDE - 01685053000156 , Desc NF: Ticket 313160 , Método Pgmto: BR_BOLETO"/>
    <n v="1159"/>
    <x v="0"/>
    <n v="47"/>
    <n v="1160"/>
    <x v="2"/>
    <n v="7854.16"/>
  </r>
  <r>
    <x v="2"/>
    <x v="1"/>
    <n v="38001027005"/>
    <x v="2"/>
    <s v="Item Despesa, NF: 85173522784 , Fornecedor: CAIXA VIDA E PREVIDENCIA S/A - 03730204000176 , Desc NF: Ticket 313161 , Método Pgmto: BR_BOLETO"/>
    <n v="1159"/>
    <x v="0"/>
    <n v="47"/>
    <n v="1160"/>
    <x v="2"/>
    <n v="157.68"/>
  </r>
  <r>
    <x v="2"/>
    <x v="3"/>
    <n v="38001011003"/>
    <x v="14"/>
    <s v="Item Despesa, NF: 33085 , Fornecedor: BICALHO NAVARRO ADVOGADOS - 04095385000179 , Desc NF: Ticket #311337 , Método Pgmto: BR_EFT"/>
    <n v="1159"/>
    <x v="0"/>
    <n v="47"/>
    <n v="1160"/>
    <x v="2"/>
    <n v="50000"/>
  </r>
  <r>
    <x v="2"/>
    <x v="1"/>
    <n v="38001027008"/>
    <x v="15"/>
    <s v="Item Despesa, NF: 94934332 , Fornecedor: VR BENEFICIOS E SERVICOS DE PROCESSAMENTO S.A - 02535864000133 , Desc NF:  Ticket #314189 - REGULARIZAÇÃO DEBITO AUTOMÁTICO , Método Pgmto: BR_BOLETO"/>
    <n v="1159"/>
    <x v="0"/>
    <n v="47"/>
    <n v="1150"/>
    <x v="0"/>
    <n v="1500"/>
  </r>
  <r>
    <x v="2"/>
    <x v="1"/>
    <n v="38001027008"/>
    <x v="15"/>
    <s v="Item Despesa, NF: 94934332 , Fornecedor: VR BENEFICIOS E SERVICOS DE PROCESSAMENTO S.A - 02535864000133 , Desc NF:  Ticket #314189 - REGULARIZAÇÃO DEBITO AUTOMÁTICO , Método Pgmto: BR_BOLETO"/>
    <n v="1159"/>
    <x v="0"/>
    <n v="47"/>
    <n v="1160"/>
    <x v="2"/>
    <n v="1500"/>
  </r>
  <r>
    <x v="2"/>
    <x v="1"/>
    <n v="38001027004"/>
    <x v="25"/>
    <s v="Item Despesa, NF: 4940270 , Fornecedor: SUL AMERICA ODONTOLOGICO S.A - 11973134000105 , Desc NF: Ticket 313158 , Método Pgmto: BR_BOLETO"/>
    <n v="1159"/>
    <x v="0"/>
    <n v="47"/>
    <n v="1150"/>
    <x v="0"/>
    <n v="317.45999999999998"/>
  </r>
  <r>
    <x v="2"/>
    <x v="1"/>
    <n v="38001027004"/>
    <x v="25"/>
    <s v="Item Despesa, NF: 4940270 , Fornecedor: SUL AMERICA ODONTOLOGICO S.A - 11973134000105 , Desc NF: Ticket 313158 , Método Pgmto: BR_BOLETO"/>
    <n v="1159"/>
    <x v="0"/>
    <n v="47"/>
    <n v="1159"/>
    <x v="1"/>
    <n v="86.58"/>
  </r>
  <r>
    <x v="2"/>
    <x v="1"/>
    <n v="38001027004"/>
    <x v="25"/>
    <s v="Item Despesa, NF: 4940270 , Fornecedor: SUL AMERICA ODONTOLOGICO S.A - 11973134000105 , Desc NF: Ticket 313158 , Método Pgmto: BR_BOLETO"/>
    <n v="1159"/>
    <x v="0"/>
    <n v="47"/>
    <n v="1160"/>
    <x v="2"/>
    <n v="404.04"/>
  </r>
  <r>
    <x v="2"/>
    <x v="3"/>
    <n v="38001011004"/>
    <x v="5"/>
    <s v="Item Despesa, NF: 1000123311 , Fornecedor: SECRETARIA DA FAZENDA E PLANEJAMENTO - 46377222000129 , Desc NF: Ticket #314123 - DARE - JUCESP Ref. Registro da Ata RD 23/03/2026 , Método Pgmto: BR_BOLETO"/>
    <n v="1159"/>
    <x v="0"/>
    <n v="47"/>
    <n v="1150"/>
    <x v="0"/>
    <n v="583.98"/>
  </r>
  <r>
    <x v="2"/>
    <x v="2"/>
    <n v="38001018002"/>
    <x v="11"/>
    <s v="Item Despesa, NF: 20541 , Fornecedor: UNIDAS LOCACOES E SERVICOS S/A - 75609123000123 , Desc NF: Ticket 313189 , Método Pgmto: BR_BOLETO"/>
    <n v="1159"/>
    <x v="0"/>
    <n v="47"/>
    <n v="1159"/>
    <x v="1"/>
    <n v="6900"/>
  </r>
  <r>
    <x v="2"/>
    <x v="4"/>
    <n v="38001019002"/>
    <x v="26"/>
    <s v="Item Despesa, NF: 313454 , Fornecedor: ITAU UNIBANCO HOLDING S.A. - 60872504000123 , Desc NF: Ticket #313454 - CARTÃO DE CRÉDITO VOLL , Método Pgmto: BR_BOLETO"/>
    <n v="1159"/>
    <x v="0"/>
    <n v="47"/>
    <n v="1159"/>
    <x v="1"/>
    <n v="3631.16"/>
  </r>
  <r>
    <x v="2"/>
    <x v="0"/>
    <n v="38001013001"/>
    <x v="1"/>
    <s v="Item Despesa, NF: 28152990105088327 , Fornecedor: SERVICO NACIONAL DE APRENDIZAGEM INDUSTRIAL SENAI - 33564543000190 , Desc NF:  , Método Pgmto: BR_BOLETO"/>
    <n v="1159"/>
    <x v="0"/>
    <n v="47"/>
    <n v="1150"/>
    <x v="0"/>
    <n v="131.99"/>
  </r>
  <r>
    <x v="2"/>
    <x v="0"/>
    <n v="38001013001"/>
    <x v="1"/>
    <s v="Item Despesa, NF: 28152990105088391 , Fornecedor: SERVICO NACIONAL DE APRENDIZAGEM INDUSTRIAL SENAI - 33564543000190 , Desc NF:  , Método Pgmto: BR_BOLETO"/>
    <n v="1159"/>
    <x v="0"/>
    <n v="47"/>
    <n v="1150"/>
    <x v="0"/>
    <n v="742.9"/>
  </r>
  <r>
    <x v="2"/>
    <x v="0"/>
    <n v="38001013001"/>
    <x v="1"/>
    <s v="Item Despesa, NF: 28152990105088327 , Fornecedor: SERVICO NACIONAL DE APRENDIZAGEM INDUSTRIAL SENAI - 33564543000190 , Desc NF:  , Método Pgmto: BR_BOLETO"/>
    <n v="1159"/>
    <x v="0"/>
    <n v="47"/>
    <n v="1159"/>
    <x v="1"/>
    <n v="124.64"/>
  </r>
  <r>
    <x v="2"/>
    <x v="0"/>
    <n v="38001013001"/>
    <x v="1"/>
    <s v="Item Despesa, NF: 28152990105088391 , Fornecedor: SERVICO NACIONAL DE APRENDIZAGEM INDUSTRIAL SENAI - 33564543000190 , Desc NF:  , Método Pgmto: BR_BOLETO"/>
    <n v="1159"/>
    <x v="0"/>
    <n v="47"/>
    <n v="1159"/>
    <x v="1"/>
    <n v="742.9"/>
  </r>
  <r>
    <x v="2"/>
    <x v="0"/>
    <n v="38001013001"/>
    <x v="1"/>
    <s v="Item Despesa, NF: 28152990105088327 , Fornecedor: SERVICO NACIONAL DE APRENDIZAGEM INDUSTRIAL SENAI - 33564543000190 , Desc NF:  , Método Pgmto: BR_BOLETO"/>
    <n v="1159"/>
    <x v="0"/>
    <n v="47"/>
    <n v="1160"/>
    <x v="2"/>
    <n v="121.09"/>
  </r>
  <r>
    <x v="2"/>
    <x v="0"/>
    <n v="38001013001"/>
    <x v="1"/>
    <s v="Item Despesa, NF: 28152990105088391 , Fornecedor: SERVICO NACIONAL DE APRENDIZAGEM INDUSTRIAL SENAI - 33564543000190 , Desc NF:  , Método Pgmto: BR_BOLETO"/>
    <n v="1159"/>
    <x v="0"/>
    <n v="47"/>
    <n v="1160"/>
    <x v="2"/>
    <n v="742.9"/>
  </r>
  <r>
    <x v="2"/>
    <x v="3"/>
    <n v="38001011004"/>
    <x v="5"/>
    <s v="Item Despesa, NF: 260590061253087 , Fornecedor: SECRETARIA DA FAZENDA E PLANEJAMENTO - 46377222000129 , Desc NF: Ticket 313378 , Método Pgmto: BR_BOLETO"/>
    <n v="1159"/>
    <x v="0"/>
    <n v="47"/>
    <n v="1150"/>
    <x v="0"/>
    <n v="273.55"/>
  </r>
  <r>
    <x v="2"/>
    <x v="3"/>
    <n v="38001011004"/>
    <x v="5"/>
    <s v="Item Despesa, NF: 260590060398436 , Fornecedor: SECRETARIA DA FAZENDA E PLANEJAMENTO - 46377222000129 , Desc NF: Ticket 313382 , Método Pgmto: BR_BOLETO"/>
    <n v="1159"/>
    <x v="0"/>
    <n v="47"/>
    <n v="1150"/>
    <x v="0"/>
    <n v="164.05"/>
  </r>
  <r>
    <x v="2"/>
    <x v="4"/>
    <n v="38001019004"/>
    <x v="6"/>
    <s v="Item Despesa, NF: REEMB#000133683686 , Fornecedor: Victor Vasconcelos Miranda , Desc NF:  , Método Pgmto: BR_EFT"/>
    <n v="1159"/>
    <x v="0"/>
    <n v="47"/>
    <n v="1159"/>
    <x v="1"/>
    <n v="293.45"/>
  </r>
  <r>
    <x v="2"/>
    <x v="4"/>
    <n v="38001019005"/>
    <x v="10"/>
    <s v="Item Despesa, NF: 38801 , Fornecedor: UBER DO BRASIL TECNOLOGIA LTDA. - 17895646000187 , Desc NF: Ticket #312333 , Método Pgmto: BR_BOLETO"/>
    <n v="1159"/>
    <x v="0"/>
    <n v="47"/>
    <n v="1159"/>
    <x v="1"/>
    <n v="639.29999999999995"/>
  </r>
  <r>
    <x v="2"/>
    <x v="7"/>
    <n v="38001023001"/>
    <x v="20"/>
    <s v="Evento - T100 - Provisão de Férias - Mês , Março , 47150 - Jurídico Corporativo , 4701150"/>
    <n v="1159"/>
    <x v="0"/>
    <n v="47"/>
    <n v="1150"/>
    <x v="0"/>
    <n v="9177.7099999999991"/>
  </r>
  <r>
    <x v="2"/>
    <x v="7"/>
    <n v="38001023001"/>
    <x v="20"/>
    <s v="Evento - T100 - Provisão de Férias - Mês , Março , 47159 - Diretoria Jurídica , 4701159"/>
    <n v="1159"/>
    <x v="0"/>
    <n v="47"/>
    <n v="1159"/>
    <x v="1"/>
    <n v="6630.06"/>
  </r>
  <r>
    <x v="2"/>
    <x v="8"/>
    <n v="38001025001"/>
    <x v="22"/>
    <s v="Evento - T200 - Provisão de 13o. Salário - Mês , Março , 47150 - Jurídico Corporativo , 4701150"/>
    <n v="1159"/>
    <x v="0"/>
    <n v="47"/>
    <n v="1150"/>
    <x v="0"/>
    <n v="5526.21"/>
  </r>
  <r>
    <x v="2"/>
    <x v="8"/>
    <n v="38001025001"/>
    <x v="22"/>
    <s v="Evento - T200 - Provisão de 13o. Salário - Mês , Março , 47159 - Diretoria Jurídica , 4701159"/>
    <n v="1159"/>
    <x v="0"/>
    <n v="47"/>
    <n v="1159"/>
    <x v="1"/>
    <n v="4972.55"/>
  </r>
  <r>
    <x v="2"/>
    <x v="8"/>
    <n v="38001025001"/>
    <x v="22"/>
    <s v="Evento - T200 - Provisão de 13o. Salário - Mês , Março , 47160 - Jurídico Imobiliário , 4701160"/>
    <n v="1159"/>
    <x v="0"/>
    <n v="47"/>
    <n v="1160"/>
    <x v="2"/>
    <n v="5045.59"/>
  </r>
  <r>
    <x v="2"/>
    <x v="0"/>
    <n v="38001013002"/>
    <x v="0"/>
    <s v="Evento - B074 - GPS Salário Acidente de Trabalho 2.7516% , Março , 47150 - Jurídico Corporativo , 4701150"/>
    <n v="1159"/>
    <x v="0"/>
    <n v="47"/>
    <n v="1150"/>
    <x v="0"/>
    <n v="1823.18"/>
  </r>
  <r>
    <x v="2"/>
    <x v="0"/>
    <n v="38001013002"/>
    <x v="0"/>
    <s v="Evento - B076 - GPS Salário Terceiros 5.80% , Março , 47150 - Jurídico Corporativo , 4701150"/>
    <n v="1159"/>
    <x v="0"/>
    <n v="47"/>
    <n v="1150"/>
    <x v="0"/>
    <n v="3843.03"/>
  </r>
  <r>
    <x v="2"/>
    <x v="0"/>
    <n v="38001013002"/>
    <x v="0"/>
    <s v="Evento - B074 - GPS Salário Acidente de Trabalho 2.7516% , Março , 47159 - Diretoria Jurídica , 4701159"/>
    <n v="1159"/>
    <x v="0"/>
    <n v="47"/>
    <n v="1159"/>
    <x v="1"/>
    <n v="1801.64"/>
  </r>
  <r>
    <x v="2"/>
    <x v="0"/>
    <n v="38001013002"/>
    <x v="0"/>
    <s v="Evento - B076 - GPS Salário Terceiros 5.80% , Março , 47159 - Diretoria Jurídica , 4701159"/>
    <n v="1159"/>
    <x v="0"/>
    <n v="47"/>
    <n v="1159"/>
    <x v="1"/>
    <n v="3797.62"/>
  </r>
  <r>
    <x v="2"/>
    <x v="0"/>
    <n v="38001013002"/>
    <x v="0"/>
    <s v="Evento - B074 - GPS Salário Acidente de Trabalho 2.7516% , Março , 47160 - Jurídico Imobiliário , 4701160"/>
    <n v="1159"/>
    <x v="0"/>
    <n v="47"/>
    <n v="1160"/>
    <x v="2"/>
    <n v="1709.09"/>
  </r>
  <r>
    <x v="2"/>
    <x v="0"/>
    <n v="38001013002"/>
    <x v="0"/>
    <s v="Evento - B076 - GPS Salário Terceiros 5.80% , Março , 47160 - Jurídico Imobiliário , 4701160"/>
    <n v="1159"/>
    <x v="0"/>
    <n v="47"/>
    <n v="1160"/>
    <x v="2"/>
    <n v="3602.53"/>
  </r>
  <r>
    <x v="2"/>
    <x v="7"/>
    <n v="38001023001"/>
    <x v="20"/>
    <s v="Evento - T100 - Provisão de Férias - Mês , Março , 47160 - Jurídico Imobiliário , 4701160"/>
    <n v="1159"/>
    <x v="0"/>
    <n v="47"/>
    <n v="1160"/>
    <x v="2"/>
    <n v="6727.41"/>
  </r>
  <r>
    <x v="2"/>
    <x v="0"/>
    <n v="38001013001"/>
    <x v="1"/>
    <s v="Evento - 1510 - Insuficiência de Saldo , Março , 47150 - Jurídico Corporativo , 4701150"/>
    <n v="1159"/>
    <x v="0"/>
    <n v="47"/>
    <n v="1150"/>
    <x v="0"/>
    <n v="0.67"/>
  </r>
  <r>
    <x v="2"/>
    <x v="0"/>
    <n v="38001013001"/>
    <x v="1"/>
    <s v="Evento - 0001 - Salário , Março , 47150 - Jurídico Corporativo , 4701150"/>
    <n v="1159"/>
    <x v="0"/>
    <n v="47"/>
    <n v="1150"/>
    <x v="0"/>
    <n v="66144.14"/>
  </r>
  <r>
    <x v="2"/>
    <x v="0"/>
    <n v="38001013001"/>
    <x v="1"/>
    <s v="Evento - 7010 - Insuficiência de Saldo , Março , 47150 - Jurídico Corporativo , 4701150"/>
    <n v="1159"/>
    <x v="0"/>
    <n v="47"/>
    <n v="1150"/>
    <x v="0"/>
    <n v="-0.67"/>
  </r>
  <r>
    <x v="2"/>
    <x v="0"/>
    <n v="38001013001"/>
    <x v="1"/>
    <s v="Evento - 0001 - Salário , Março , 47159 - Diretoria Jurídica , 4701159"/>
    <n v="1159"/>
    <x v="0"/>
    <n v="47"/>
    <n v="1159"/>
    <x v="1"/>
    <n v="42253.39"/>
  </r>
  <r>
    <x v="2"/>
    <x v="0"/>
    <n v="38001013001"/>
    <x v="1"/>
    <s v="Evento - 0001 - Salário , Março , 47160 - Jurídico Imobiliário , 4701160"/>
    <n v="1159"/>
    <x v="0"/>
    <n v="47"/>
    <n v="1160"/>
    <x v="2"/>
    <n v="55849.49"/>
  </r>
  <r>
    <x v="2"/>
    <x v="2"/>
    <n v="38001018002"/>
    <x v="11"/>
    <s v="Item Despesa, NF: 20541 , Fornecedor: UNIDAS LOCACOES E SERVICOS S/A - 75609123000123 , Desc NF: Ticket 313189 , Método Pgmto: BR_BOLETO"/>
    <n v="1159"/>
    <x v="0"/>
    <n v="47"/>
    <n v="1159"/>
    <x v="1"/>
    <n v="-10981.37"/>
  </r>
  <r>
    <x v="2"/>
    <x v="2"/>
    <n v="38001018002"/>
    <x v="11"/>
    <s v="Depreciação, NF: 20541 , Fornecedor: UNIDAS LOCACOES E SERVICOS S/A - 75609123000123 , Desc NF: Ticket 313189 , Método Pgmto: BR_BOLETO"/>
    <n v="1159"/>
    <x v="0"/>
    <n v="47"/>
    <n v="1159"/>
    <x v="1"/>
    <n v="9779.6"/>
  </r>
  <r>
    <x v="2"/>
    <x v="7"/>
    <n v="38001023001"/>
    <x v="20"/>
    <s v="RATEIO PROVISÃO DE FÉRIAS 03/2026 C.C 4701150"/>
    <n v="1159"/>
    <x v="0"/>
    <n v="47"/>
    <n v="1150"/>
    <x v="0"/>
    <n v="-4096.84"/>
  </r>
  <r>
    <x v="2"/>
    <x v="8"/>
    <n v="38001025001"/>
    <x v="22"/>
    <s v="RATEIO PROVISÃO DE 13º salário 03/2026 PACAEMBU"/>
    <n v="1159"/>
    <x v="0"/>
    <n v="47"/>
    <n v="1159"/>
    <x v="1"/>
    <n v="13062.88"/>
  </r>
  <r>
    <x v="2"/>
    <x v="0"/>
    <n v="38001013004"/>
    <x v="21"/>
    <s v="Evento - B410 - FGTS Salário , Março , 47159 - Diretoria Jurídica , 4701159"/>
    <n v="1159"/>
    <x v="0"/>
    <n v="47"/>
    <n v="1159"/>
    <x v="1"/>
    <n v="5238.08"/>
  </r>
  <r>
    <x v="2"/>
    <x v="0"/>
    <n v="38001013004"/>
    <x v="21"/>
    <s v="Evento - B410 - FGTS Salário , Março , 47160 - Jurídico Imobiliário , 4701160"/>
    <n v="1159"/>
    <x v="0"/>
    <n v="47"/>
    <n v="1160"/>
    <x v="2"/>
    <n v="4968.99"/>
  </r>
  <r>
    <x v="2"/>
    <x v="0"/>
    <n v="38001013004"/>
    <x v="21"/>
    <s v="Evento - B410 - FGTS Salário , Março , 47150 - Jurídico Corporativo , 4701150"/>
    <n v="1159"/>
    <x v="0"/>
    <n v="47"/>
    <n v="1150"/>
    <x v="0"/>
    <n v="5300.68"/>
  </r>
  <r>
    <x v="2"/>
    <x v="3"/>
    <n v="38001011004"/>
    <x v="5"/>
    <s v="- AMORTIZACAO DAS PARCELAS SEGUROS 03 2026 /47150 - JURIDICO CORPORATIVO / 4701150"/>
    <n v="1159"/>
    <x v="0"/>
    <n v="47"/>
    <n v="1150"/>
    <x v="0"/>
    <n v="38.97"/>
  </r>
  <r>
    <x v="2"/>
    <x v="3"/>
    <n v="38001011004"/>
    <x v="5"/>
    <s v="- AMORTIZACAO DAS PARCELAS SEGUROS 03 2026 /47151 - Provis�es JurIdicas. / 4701249"/>
    <n v="1159"/>
    <x v="0"/>
    <n v="47"/>
    <n v="1150"/>
    <x v="0"/>
    <n v="12.32"/>
  </r>
  <r>
    <x v="2"/>
    <x v="10"/>
    <n v="38001022001"/>
    <x v="30"/>
    <s v="FORNECEDORES   C LIMA SERVICOS LTDA / SECRETARIA DA FAZENDA E PLANEJAMENTO"/>
    <n v="1000"/>
    <x v="1"/>
    <n v="51"/>
    <n v="1003"/>
    <x v="3"/>
    <n v="40443.85"/>
  </r>
  <r>
    <x v="2"/>
    <x v="10"/>
    <n v="38001022002"/>
    <x v="33"/>
    <s v="FORNECEDOR RANGEL MOREIRA RAMOS SOCIEDADE DE ADVOGADOS"/>
    <n v="1000"/>
    <x v="1"/>
    <n v="51"/>
    <n v="1003"/>
    <x v="3"/>
    <n v="3008.42"/>
  </r>
  <r>
    <x v="3"/>
    <x v="2"/>
    <n v="38001018002"/>
    <x v="11"/>
    <s v="Item Despesa, NF: 42127 , Fornecedor: UNIDAS LOCACOES E SERVICOS S/A - 75609123000123 , Desc NF: Ticket 319135 , Método Pgmto: BR_BOLETO"/>
    <n v="1159"/>
    <x v="0"/>
    <n v="47"/>
    <n v="1159"/>
    <x v="1"/>
    <n v="2405"/>
  </r>
  <r>
    <x v="3"/>
    <x v="3"/>
    <n v="38001011004"/>
    <x v="5"/>
    <s v="- AMORTIZACAO DAS PARCELAS SEGUROS 04 2026 /47150 - JURIDICO CORPORATIVO / 4701150"/>
    <n v="1159"/>
    <x v="0"/>
    <n v="47"/>
    <n v="1150"/>
    <x v="0"/>
    <n v="29.77"/>
  </r>
  <r>
    <x v="3"/>
    <x v="3"/>
    <n v="38001011002"/>
    <x v="4"/>
    <s v="Item Despesa, NF: 320474 , Fornecedor: CARLA MOROZETTI BLANCO - 25585715836 , Desc NF: TICKET 320474 , Método Pgmto: BR_EFT"/>
    <n v="1159"/>
    <x v="0"/>
    <n v="47"/>
    <n v="1160"/>
    <x v="2"/>
    <n v="5000"/>
  </r>
  <r>
    <x v="3"/>
    <x v="4"/>
    <n v="38001019002"/>
    <x v="26"/>
    <s v="Item Despesa, NF: 318788 , Fornecedor: ITAU UNIBANCO HOLDING S.A. - 60872504000123 , Desc NF: Ticket #318788 - CARTÃO VOLL/DÉBITO , Método Pgmto: BR_BOLETO"/>
    <n v="1159"/>
    <x v="0"/>
    <n v="47"/>
    <n v="1159"/>
    <x v="1"/>
    <n v="6859.84"/>
  </r>
  <r>
    <x v="3"/>
    <x v="3"/>
    <n v="38001011003"/>
    <x v="14"/>
    <s v="Item Despesa, NF: 229 , Fornecedor: STOCCHE, FORBES, PASSARO E CAMPOS SOCIEDADE DE ADVOGADOS - 34986424000199 , Desc NF: Ticket #316118 , Método Pgmto: BR_EFT"/>
    <n v="1159"/>
    <x v="0"/>
    <n v="47"/>
    <n v="1150"/>
    <x v="0"/>
    <n v="1126.99"/>
  </r>
  <r>
    <x v="3"/>
    <x v="3"/>
    <n v="38001011004"/>
    <x v="5"/>
    <s v="Item Despesa, NF: 240544 , Fornecedor: LUZ PUBLICIDADE SP SUL LTDA - 50750298000125 , Desc NF: Ticket #316120 , Método Pgmto: BR_EFT"/>
    <n v="1159"/>
    <x v="0"/>
    <n v="47"/>
    <n v="1150"/>
    <x v="0"/>
    <n v="6480"/>
  </r>
  <r>
    <x v="3"/>
    <x v="3"/>
    <n v="38001011004"/>
    <x v="5"/>
    <s v="Item Despesa, NF: 3825 , Fornecedor: CONTATO DIARIO LTDA - 03501722000118 , Desc NF: Ticket #315441 , Método Pgmto: BR_EFT"/>
    <n v="1159"/>
    <x v="0"/>
    <n v="47"/>
    <n v="1150"/>
    <x v="0"/>
    <n v="200"/>
  </r>
  <r>
    <x v="3"/>
    <x v="3"/>
    <n v="38001011004"/>
    <x v="5"/>
    <s v="Item Despesa, NF: 260590078509084 , Fornecedor: SECRETARIA DA FAZENDA E PLANEJAMENTO - 46377222000129 , Desc NF: Ticket #318316 , Método Pgmto: BR_BOLETO"/>
    <n v="1159"/>
    <x v="0"/>
    <n v="47"/>
    <n v="1150"/>
    <x v="0"/>
    <n v="583.98"/>
  </r>
  <r>
    <x v="3"/>
    <x v="4"/>
    <n v="38001019001"/>
    <x v="23"/>
    <s v="Item Despesa, NF: 15990 , Fornecedor: VOLL S.A. - 09306896000106 , Desc NF: Ticket #316734 , Método Pgmto: BR_BOLETO"/>
    <n v="1159"/>
    <x v="0"/>
    <n v="47"/>
    <n v="1159"/>
    <x v="1"/>
    <n v="4.9400000000000004"/>
  </r>
  <r>
    <x v="3"/>
    <x v="4"/>
    <n v="38001019002"/>
    <x v="26"/>
    <s v="Item Despesa, NF: 15990 , Fornecedor: VOLL S.A. - 09306896000106 , Desc NF: Ticket #316734 , Método Pgmto: BR_BOLETO"/>
    <n v="1159"/>
    <x v="0"/>
    <n v="47"/>
    <n v="1159"/>
    <x v="1"/>
    <n v="4.9400000000000004"/>
  </r>
  <r>
    <x v="3"/>
    <x v="3"/>
    <n v="38001011002"/>
    <x v="4"/>
    <s v="Item Despesa, NF: 4436 , Fornecedor: REIS, SOUZA, TAKEISHI &amp; ARSUFFI SOCIEDADE DE ADVOGADOS - 09639999000198 , Desc NF:  Ticket #317189 , Método Pgmto: BR_EFT"/>
    <n v="1159"/>
    <x v="0"/>
    <n v="47"/>
    <n v="1150"/>
    <x v="0"/>
    <n v="57456"/>
  </r>
  <r>
    <x v="3"/>
    <x v="3"/>
    <n v="38001011003"/>
    <x v="14"/>
    <s v="Item Despesa, NF: 457 , Fornecedor: BM ASSESSORIA EMPRESARIAL LTDA - 32930743000157 , Desc NF: Ticket #317185 , Método Pgmto: BR_EFT"/>
    <n v="1159"/>
    <x v="0"/>
    <n v="47"/>
    <n v="1150"/>
    <x v="0"/>
    <n v="1500"/>
  </r>
  <r>
    <x v="3"/>
    <x v="12"/>
    <n v="38001004001"/>
    <x v="34"/>
    <s v="PROVISÕES DE GRATIFICAÇÃO / BONIFICAÇÃO - CORPORATIVO 04.2026"/>
    <n v="1159"/>
    <x v="0"/>
    <n v="47"/>
    <n v="1159"/>
    <x v="1"/>
    <n v="38703.93"/>
  </r>
  <r>
    <x v="3"/>
    <x v="12"/>
    <n v="38001004001"/>
    <x v="34"/>
    <s v="PROVISÕES DE GRATIFICAÇÃO / BONIFICAÇÃO - CORPORATIVO 04.2026"/>
    <n v="1159"/>
    <x v="0"/>
    <n v="47"/>
    <n v="1160"/>
    <x v="2"/>
    <n v="14404.93"/>
  </r>
  <r>
    <x v="3"/>
    <x v="12"/>
    <n v="38001004001"/>
    <x v="34"/>
    <s v="PROVISÕES DE GRATIFICAÇÃO / BONIFICAÇÃO - CORPORATIVO 04.2026"/>
    <n v="1159"/>
    <x v="0"/>
    <n v="47"/>
    <n v="1150"/>
    <x v="0"/>
    <n v="14847.25"/>
  </r>
  <r>
    <x v="3"/>
    <x v="4"/>
    <n v="38001019004"/>
    <x v="6"/>
    <s v="Item Despesa, NF: REEMB#000139291024 , Fornecedor: Victor Vasconcelos Miranda , Desc NF:  , Método Pgmto: BR_EFT"/>
    <n v="1159"/>
    <x v="0"/>
    <n v="47"/>
    <n v="1159"/>
    <x v="1"/>
    <n v="205"/>
  </r>
  <r>
    <x v="3"/>
    <x v="3"/>
    <n v="38001011004"/>
    <x v="5"/>
    <s v="Item Despesa, NF: 260590074691720 , Fornecedor: SECRETARIA DA FAZENDA E PLANEJAMENTO - 46377222000129 , Desc NF:  Ticket #316771 , Método Pgmto: BR_BOLETO"/>
    <n v="1159"/>
    <x v="0"/>
    <n v="47"/>
    <n v="1150"/>
    <x v="0"/>
    <n v="273.55"/>
  </r>
  <r>
    <x v="3"/>
    <x v="3"/>
    <n v="38001011004"/>
    <x v="5"/>
    <s v="Item Despesa, NF: 317903 , Fornecedor: VICTOR VASCONCELOS MIRANDA - 07203917410 , Desc NF: Ticket 317903 , Método Pgmto: BR_EFT"/>
    <n v="1159"/>
    <x v="0"/>
    <n v="47"/>
    <n v="1159"/>
    <x v="1"/>
    <n v="186.9"/>
  </r>
  <r>
    <x v="3"/>
    <x v="3"/>
    <n v="38001011004"/>
    <x v="5"/>
    <s v="Item Despesa, NF: 519 , Fornecedor: ATLAS GOVERNANCE TECNOLOGIA LTDA - 25462636000186 , Desc NF:  Ticket #316123 , Método Pgmto: BR_EFT"/>
    <n v="1159"/>
    <x v="0"/>
    <n v="47"/>
    <n v="1150"/>
    <x v="0"/>
    <n v="37361.46"/>
  </r>
  <r>
    <x v="3"/>
    <x v="2"/>
    <n v="38001018002"/>
    <x v="11"/>
    <s v="Item Despesa, NF: 15990 , Fornecedor: VOLL S.A. - 09306896000106 , Desc NF: Ticket #316734 , Método Pgmto: BR_BOLETO"/>
    <n v="1159"/>
    <x v="0"/>
    <n v="47"/>
    <n v="1159"/>
    <x v="1"/>
    <n v="204.27"/>
  </r>
  <r>
    <x v="3"/>
    <x v="3"/>
    <n v="38001011002"/>
    <x v="4"/>
    <s v="Item Despesa, NF: 773 , Fornecedor: RIBEIRO PINTO ADVOGADOS ASSOCIADOS - 04612076000129 , Desc NF:  Ticket #316474 , Método Pgmto: BR_EFT"/>
    <n v="1159"/>
    <x v="0"/>
    <n v="47"/>
    <n v="1150"/>
    <x v="0"/>
    <n v="32320.71"/>
  </r>
  <r>
    <x v="3"/>
    <x v="3"/>
    <n v="38001011002"/>
    <x v="4"/>
    <s v="Item Despesa, NF: 772 , Fornecedor: RIBEIRO PINTO ADVOGADOS ASSOCIADOS - 04612076000129 , Desc NF: Ticket #316473 , Método Pgmto: BR_EFT"/>
    <n v="1159"/>
    <x v="0"/>
    <n v="47"/>
    <n v="1150"/>
    <x v="0"/>
    <n v="43926.239999999998"/>
  </r>
  <r>
    <x v="3"/>
    <x v="1"/>
    <n v="38001027008"/>
    <x v="15"/>
    <s v="Item Despesa, NF: 1000127581 , Fornecedor: LAWRENCCE VAN HORNN LIBERATORI DA SILVA - 45573855832 , Desc NF: Ticket #317800 , Método Pgmto: BR_EFT"/>
    <n v="1159"/>
    <x v="0"/>
    <n v="47"/>
    <n v="1150"/>
    <x v="0"/>
    <n v="440"/>
  </r>
  <r>
    <x v="3"/>
    <x v="1"/>
    <n v="38001027007"/>
    <x v="8"/>
    <s v="Item Despesa, NF: 398066 , Fornecedor: RB REDE DE BENEFICIOS E GESTAO EMPRESARIAL LTDA - 00342669000161 , Desc NF:  Ticket #319138 - BAIXA ADTO312125 , Método Pgmto: BR_BOLETO"/>
    <n v="1159"/>
    <x v="0"/>
    <n v="47"/>
    <n v="1150"/>
    <x v="0"/>
    <n v="187.6"/>
  </r>
  <r>
    <x v="3"/>
    <x v="1"/>
    <n v="38001027007"/>
    <x v="8"/>
    <s v="Item Despesa, NF: 46727 , Fornecedor: RB REDE DE BENEFICIOS E GESTAO EMPRESARIAL LTDA - 00342669000161 , Desc NF:  Ticket #319138 - BAIXA ADTO312125 , Método Pgmto: BR_BOLETO"/>
    <n v="1159"/>
    <x v="0"/>
    <n v="47"/>
    <n v="1150"/>
    <x v="0"/>
    <n v="805.68"/>
  </r>
  <r>
    <x v="3"/>
    <x v="1"/>
    <n v="38001027005"/>
    <x v="2"/>
    <s v="Item Despesa, NF: 8517358451 , Fornecedor: CAIXA VIDA E PREVIDENCIA S/A - 03730204000176 , Desc NF: Ticket #319172 , Método Pgmto: BR_BOLETO"/>
    <n v="1159"/>
    <x v="0"/>
    <n v="47"/>
    <n v="1150"/>
    <x v="0"/>
    <n v="192.72"/>
  </r>
  <r>
    <x v="3"/>
    <x v="1"/>
    <n v="38001027005"/>
    <x v="2"/>
    <s v="Item Despesa, NF: 8517358451 , Fornecedor: CAIXA VIDA E PREVIDENCIA S/A - 03730204000176 , Desc NF: Ticket #319172 , Método Pgmto: BR_BOLETO"/>
    <n v="1159"/>
    <x v="0"/>
    <n v="47"/>
    <n v="1160"/>
    <x v="2"/>
    <n v="157.68"/>
  </r>
  <r>
    <x v="3"/>
    <x v="4"/>
    <n v="38001019001"/>
    <x v="23"/>
    <s v="Item Despesa, NF: 17372 , Fornecedor: VOLL S.A. - 09306896000106 , Desc NF: Ticket #317640 , Método Pgmto: BR_BOLETO"/>
    <n v="1159"/>
    <x v="0"/>
    <n v="47"/>
    <n v="1159"/>
    <x v="1"/>
    <n v="863.48"/>
  </r>
  <r>
    <x v="3"/>
    <x v="3"/>
    <n v="38001011004"/>
    <x v="5"/>
    <s v="Item Despesa, NF: 260590079766533 , Fornecedor: SECRETARIA DA FAZENDA E PLANEJAMENTO - 46377222000129 , Desc NF: Ticket 319021 , Método Pgmto: BR_BOLETO"/>
    <n v="1159"/>
    <x v="0"/>
    <n v="47"/>
    <n v="1150"/>
    <x v="0"/>
    <n v="273.55"/>
  </r>
  <r>
    <x v="3"/>
    <x v="3"/>
    <n v="38001011004"/>
    <x v="5"/>
    <s v="Item Despesa, NF: 260590079761409 , Fornecedor: SECRETARIA DA FAZENDA E PLANEJAMENTO - 46377222000129 , Desc NF: Ticket 319023 , Método Pgmto: BR_BOLETO"/>
    <n v="1159"/>
    <x v="0"/>
    <n v="47"/>
    <n v="1150"/>
    <x v="0"/>
    <n v="273.55"/>
  </r>
  <r>
    <x v="3"/>
    <x v="2"/>
    <n v="38001018007"/>
    <x v="3"/>
    <s v="Item Despesa, NF: 4338952 , Fornecedor: ALELO INSTITUICAO DE PAGAMENTO SA - 04740876000125 , Desc NF: Ticket #316212 , Método Pgmto: BR_BOLETO"/>
    <n v="1159"/>
    <x v="0"/>
    <n v="47"/>
    <n v="1159"/>
    <x v="1"/>
    <n v="879.94"/>
  </r>
  <r>
    <x v="3"/>
    <x v="2"/>
    <n v="38001018001"/>
    <x v="12"/>
    <s v="Item Despesa, NF: 4161160 , Fornecedor: ALELO INSTITUICAO DE PAGAMENTO SA - 04740876000125 , Desc NF: Ticket #316747 , Método Pgmto: BR_BOLETO"/>
    <n v="1159"/>
    <x v="0"/>
    <n v="47"/>
    <n v="1159"/>
    <x v="1"/>
    <n v="2539.2399999999998"/>
  </r>
  <r>
    <x v="3"/>
    <x v="5"/>
    <n v="38001002001"/>
    <x v="7"/>
    <s v="Item Despesa, NF: 317882 , Fornecedor: 30 TABELIÃO DE NOTAS DA CAPITAL - 45576691000104 , Desc NF: Ticket 317882 , Método Pgmto: BR_EFT"/>
    <n v="1159"/>
    <x v="0"/>
    <n v="47"/>
    <n v="1160"/>
    <x v="2"/>
    <n v="46.88"/>
  </r>
  <r>
    <x v="3"/>
    <x v="6"/>
    <n v="38001008004"/>
    <x v="9"/>
    <s v="Imposto a recuperar, NF: 48188-1-20260330-15341234000170 , Fornecedor: PAO E TALHO SANDUICHERIA LTDA - 15341234000170 , Desc NF: Ticket #315312"/>
    <n v="1159"/>
    <x v="0"/>
    <n v="47"/>
    <n v="1159"/>
    <x v="1"/>
    <n v="255.43"/>
  </r>
  <r>
    <x v="3"/>
    <x v="6"/>
    <n v="38001008004"/>
    <x v="9"/>
    <s v="Item Despesa, NF: 48188-1-20260330-15341234000170 , Fornecedor: PAO E TALHO SANDUICHERIA LTDA - 15341234000170 , Desc NF: Ticket #315312 , Método Pgmto: BR_BOLETO"/>
    <n v="1159"/>
    <x v="0"/>
    <n v="47"/>
    <n v="1159"/>
    <x v="1"/>
    <n v="3601.67"/>
  </r>
  <r>
    <x v="3"/>
    <x v="3"/>
    <n v="38001011004"/>
    <x v="5"/>
    <s v="Item Despesa, NF: 260590084709968 , Fornecedor: SECRETARIA DA FAZENDA E PLANEJAMENTO - 46377222000129 , Desc NF: Ticket #320234 , Método Pgmto: BR_BOLETO"/>
    <n v="1159"/>
    <x v="0"/>
    <n v="47"/>
    <n v="1150"/>
    <x v="0"/>
    <n v="273.55"/>
  </r>
  <r>
    <x v="3"/>
    <x v="3"/>
    <n v="38001011004"/>
    <x v="5"/>
    <s v="Item Despesa, NF: 260590086268300 , Fornecedor: SECRETARIA DA FAZENDA E PLANEJAMENTO - 46377222000129 , Desc NF:  Ticket #320276 , Método Pgmto: BR_BOLETO"/>
    <n v="1159"/>
    <x v="0"/>
    <n v="47"/>
    <n v="1150"/>
    <x v="0"/>
    <n v="583.98"/>
  </r>
  <r>
    <x v="3"/>
    <x v="1"/>
    <n v="38001027008"/>
    <x v="15"/>
    <s v="Item Despesa, NF: 95821587 , Fornecedor: VR BENEFICIOS E SERVICOS DE PROCESSAMENTO S.A - 02535864000133 , Desc NF:  Ticket #320542 - REGULARIZAÇÃO DEBITO AUTOMATICO , Método Pgmto: BR_BOLETO"/>
    <n v="1159"/>
    <x v="0"/>
    <n v="47"/>
    <n v="1150"/>
    <x v="0"/>
    <n v="6800"/>
  </r>
  <r>
    <x v="3"/>
    <x v="1"/>
    <n v="38001027008"/>
    <x v="15"/>
    <s v="Item Despesa, NF: 95821587 , Fornecedor: VR BENEFICIOS E SERVICOS DE PROCESSAMENTO S.A - 02535864000133 , Desc NF:  Ticket #320542 - REGULARIZAÇÃO DEBITO AUTOMATICO , Método Pgmto: BR_BOLETO"/>
    <n v="1159"/>
    <x v="0"/>
    <n v="47"/>
    <n v="1159"/>
    <x v="1"/>
    <n v="1850"/>
  </r>
  <r>
    <x v="3"/>
    <x v="1"/>
    <n v="38001027008"/>
    <x v="15"/>
    <s v="Item Despesa, NF: 95821587 , Fornecedor: VR BENEFICIOS E SERVICOS DE PROCESSAMENTO S.A - 02535864000133 , Desc NF:  Ticket #320542 - REGULARIZAÇÃO DEBITO AUTOMATICO , Método Pgmto: BR_BOLETO"/>
    <n v="1159"/>
    <x v="0"/>
    <n v="47"/>
    <n v="1160"/>
    <x v="2"/>
    <n v="5200"/>
  </r>
  <r>
    <x v="3"/>
    <x v="8"/>
    <n v="38001025001"/>
    <x v="22"/>
    <s v="Evento - T200 - Provisão de 13o. Salário - Mês , Abril , 47150 - Jurídico Corporativo , 4701150"/>
    <n v="1159"/>
    <x v="0"/>
    <n v="47"/>
    <n v="1150"/>
    <x v="0"/>
    <n v="6730.17"/>
  </r>
  <r>
    <x v="3"/>
    <x v="8"/>
    <n v="38001025001"/>
    <x v="22"/>
    <s v="Evento - T200 - Provisão de 13o. Salário - Mês , Abril , 47159 - Diretoria Jurídica , 4701159"/>
    <n v="1159"/>
    <x v="0"/>
    <n v="47"/>
    <n v="1159"/>
    <x v="1"/>
    <n v="6739.53"/>
  </r>
  <r>
    <x v="3"/>
    <x v="8"/>
    <n v="38001025001"/>
    <x v="22"/>
    <s v="Evento - T200 - Provisão de 13o. Salário - Mês , Abril , 47160 - Jurídico Imobiliário , 4701160"/>
    <n v="1159"/>
    <x v="0"/>
    <n v="47"/>
    <n v="1160"/>
    <x v="2"/>
    <n v="5045.58"/>
  </r>
  <r>
    <x v="3"/>
    <x v="1"/>
    <n v="38001027003"/>
    <x v="28"/>
    <s v="Item Despesa, NF: 65964289653940 , Fornecedor: SUL AMERICA COMPANHIA DE SEGURO SAUDE - 01685053000156 , Desc NF:  Ticket #319635 , Método Pgmto: BR_BOLETO"/>
    <n v="1159"/>
    <x v="0"/>
    <n v="47"/>
    <n v="1150"/>
    <x v="0"/>
    <n v="14491.66"/>
  </r>
  <r>
    <x v="3"/>
    <x v="1"/>
    <n v="38001027003"/>
    <x v="28"/>
    <s v="Item Despesa, NF: 65964289653940 , Fornecedor: SUL AMERICA COMPANHIA DE SEGURO SAUDE - 01685053000156 , Desc NF:  Ticket #319635 , Método Pgmto: BR_BOLETO"/>
    <n v="1159"/>
    <x v="0"/>
    <n v="47"/>
    <n v="1159"/>
    <x v="1"/>
    <n v="3923.2"/>
  </r>
  <r>
    <x v="3"/>
    <x v="1"/>
    <n v="38001027003"/>
    <x v="28"/>
    <s v="Item Despesa, NF: 65964289653940 , Fornecedor: SUL AMERICA COMPANHIA DE SEGURO SAUDE - 01685053000156 , Desc NF:  Ticket #319635 , Método Pgmto: BR_BOLETO"/>
    <n v="1159"/>
    <x v="0"/>
    <n v="47"/>
    <n v="1160"/>
    <x v="2"/>
    <n v="5896.44"/>
  </r>
  <r>
    <x v="3"/>
    <x v="0"/>
    <n v="38001013002"/>
    <x v="0"/>
    <s v="Evento - B074 - GPS Salário Acidente de Trabalho 2.7516% , Abril , 47159 - Diretoria Jurídica , 4701159"/>
    <n v="1159"/>
    <x v="0"/>
    <n v="47"/>
    <n v="1159"/>
    <x v="1"/>
    <n v="1860.58"/>
  </r>
  <r>
    <x v="3"/>
    <x v="0"/>
    <n v="38001013002"/>
    <x v="0"/>
    <s v="Evento - B076 - GPS Salário Terceiros 5.80% , Abril , 47159 - Diretoria Jurídica , 4701159"/>
    <n v="1159"/>
    <x v="0"/>
    <n v="47"/>
    <n v="1159"/>
    <x v="1"/>
    <n v="3921.87"/>
  </r>
  <r>
    <x v="3"/>
    <x v="0"/>
    <n v="38001013002"/>
    <x v="0"/>
    <s v="Evento - B074 - GPS Salário Acidente de Trabalho 2.7516% , Abril , 47160 - Jurídico Imobiliário , 4701160"/>
    <n v="1159"/>
    <x v="0"/>
    <n v="47"/>
    <n v="1160"/>
    <x v="2"/>
    <n v="1693.41"/>
  </r>
  <r>
    <x v="3"/>
    <x v="0"/>
    <n v="38001013002"/>
    <x v="0"/>
    <s v="Evento - B076 - GPS Salário Terceiros 5.80% , Abril , 47160 - Jurídico Imobiliário , 4701160"/>
    <n v="1159"/>
    <x v="0"/>
    <n v="47"/>
    <n v="1160"/>
    <x v="2"/>
    <n v="3569.47"/>
  </r>
  <r>
    <x v="3"/>
    <x v="1"/>
    <n v="38001027004"/>
    <x v="25"/>
    <s v="Item Despesa, NF: 4996086 , Fornecedor: SUL AMERICA ODONTOLOGICO S.A - 11973134000105 , Desc NF: Ticket #319163 , Método Pgmto: BR_BOLETO"/>
    <n v="1159"/>
    <x v="0"/>
    <n v="47"/>
    <n v="1150"/>
    <x v="0"/>
    <n v="317.45999999999998"/>
  </r>
  <r>
    <x v="3"/>
    <x v="1"/>
    <n v="38001027004"/>
    <x v="25"/>
    <s v="Item Despesa, NF: 4996086 , Fornecedor: SUL AMERICA ODONTOLOGICO S.A - 11973134000105 , Desc NF: Ticket #319163 , Método Pgmto: BR_BOLETO"/>
    <n v="1159"/>
    <x v="0"/>
    <n v="47"/>
    <n v="1159"/>
    <x v="1"/>
    <n v="86.58"/>
  </r>
  <r>
    <x v="3"/>
    <x v="1"/>
    <n v="38001027004"/>
    <x v="25"/>
    <s v="Item Despesa, NF: 4996086 , Fornecedor: SUL AMERICA ODONTOLOGICO S.A - 11973134000105 , Desc NF: Ticket #319163 , Método Pgmto: BR_BOLETO"/>
    <n v="1159"/>
    <x v="0"/>
    <n v="47"/>
    <n v="1160"/>
    <x v="2"/>
    <n v="404.04"/>
  </r>
  <r>
    <x v="3"/>
    <x v="5"/>
    <n v="38001002001"/>
    <x v="7"/>
    <s v="PIX RECEBIDO 51800852000102 126,18 - 2 Registro de Imóveis de Ribeirão Preto:Pelo OUT+ :Banco 033 3984 000013002542"/>
    <n v="1159"/>
    <x v="0"/>
    <n v="47"/>
    <n v="1160"/>
    <x v="2"/>
    <n v="-126.18"/>
  </r>
  <r>
    <x v="3"/>
    <x v="0"/>
    <n v="38001013002"/>
    <x v="0"/>
    <s v="Evento - B074 - GPS Salário Acidente de Trabalho 2.7516% , Abril , 47150 - Jurídico Corporativo , 4701150"/>
    <n v="1159"/>
    <x v="0"/>
    <n v="47"/>
    <n v="1150"/>
    <x v="0"/>
    <n v="1997.53"/>
  </r>
  <r>
    <x v="3"/>
    <x v="0"/>
    <n v="38001013002"/>
    <x v="0"/>
    <s v="Evento - B076 - GPS Salário Terceiros 5.80% , Abril , 47150 - Jurídico Corporativo , 4701150"/>
    <n v="1159"/>
    <x v="0"/>
    <n v="47"/>
    <n v="1150"/>
    <x v="0"/>
    <n v="4210.54"/>
  </r>
  <r>
    <x v="3"/>
    <x v="12"/>
    <n v="38001004001"/>
    <x v="34"/>
    <s v="Evento - 1871 - Bônus - Lei 13.467 , Abril , 47150 - Jurídico Corporativo , 4701150"/>
    <n v="1159"/>
    <x v="0"/>
    <n v="47"/>
    <n v="1150"/>
    <x v="0"/>
    <n v="112323.66"/>
  </r>
  <r>
    <x v="3"/>
    <x v="0"/>
    <n v="38001013001"/>
    <x v="1"/>
    <s v="Evento - 5530 - Contribuição Assistencial , Abril , 47150 - Jurídico Corporativo , 4701150"/>
    <n v="1159"/>
    <x v="0"/>
    <n v="47"/>
    <n v="1150"/>
    <x v="0"/>
    <n v="-156.72999999999999"/>
  </r>
  <r>
    <x v="3"/>
    <x v="0"/>
    <n v="38001013001"/>
    <x v="1"/>
    <s v="Evento - 5530 - Contribuição Assistencial , Abril , 47159 - Diretoria Jurídica , 4701159"/>
    <n v="1159"/>
    <x v="0"/>
    <n v="47"/>
    <n v="1159"/>
    <x v="1"/>
    <n v="-46.3"/>
  </r>
  <r>
    <x v="3"/>
    <x v="2"/>
    <n v="38001018002"/>
    <x v="11"/>
    <s v="Depreciação, NF: 42127 , Fornecedor: UNIDAS LOCACOES E SERVICOS S/A - 75609123000123 , Desc NF: Ticket 319135 , Método Pgmto: BR_BOLETO"/>
    <n v="1159"/>
    <x v="0"/>
    <n v="47"/>
    <n v="1159"/>
    <x v="1"/>
    <n v="3297.32"/>
  </r>
  <r>
    <x v="3"/>
    <x v="0"/>
    <n v="38001013001"/>
    <x v="1"/>
    <s v="Evento - 5530 - Contribuição Assistencial , Abril , 47160 - Jurídico Imobiliário , 4701160"/>
    <n v="1159"/>
    <x v="0"/>
    <n v="47"/>
    <n v="1160"/>
    <x v="2"/>
    <n v="-24.02"/>
  </r>
  <r>
    <x v="3"/>
    <x v="7"/>
    <n v="38001023004"/>
    <x v="18"/>
    <s v="Evento - T120 - Provisão de FGTS de Férias - Mês , Abril , 47150 - Jurídico Corporativo , 4701150"/>
    <n v="1159"/>
    <x v="0"/>
    <n v="47"/>
    <n v="1150"/>
    <x v="0"/>
    <n v="809.51"/>
  </r>
  <r>
    <x v="3"/>
    <x v="7"/>
    <n v="38001023004"/>
    <x v="18"/>
    <s v="Evento - T120 - Provisão de FGTS de Férias - Mês , Abril , 47159 - Diretoria Jurídica , 4701159"/>
    <n v="1159"/>
    <x v="0"/>
    <n v="47"/>
    <n v="1159"/>
    <x v="1"/>
    <n v="1567.03"/>
  </r>
  <r>
    <x v="3"/>
    <x v="7"/>
    <n v="38001023004"/>
    <x v="18"/>
    <s v="Evento - T120 - Provisão de FGTS de Férias - Mês , Abril , 47160 - Jurídico Imobiliário , 4701160"/>
    <n v="1159"/>
    <x v="0"/>
    <n v="47"/>
    <n v="1160"/>
    <x v="2"/>
    <n v="538.17999999999995"/>
  </r>
  <r>
    <x v="3"/>
    <x v="8"/>
    <n v="38001025002"/>
    <x v="17"/>
    <s v="Evento - T210 - Provisão de INSS de 13o. Salário - Mês , Abril , 47150 - Jurídico Corporativo , 4701150"/>
    <n v="1159"/>
    <x v="0"/>
    <n v="47"/>
    <n v="1150"/>
    <x v="0"/>
    <n v="575.54"/>
  </r>
  <r>
    <x v="3"/>
    <x v="8"/>
    <n v="38001025002"/>
    <x v="17"/>
    <s v="Evento - T210 - Provisão de INSS de 13o. Salário - Mês , Abril , 47159 - Diretoria Jurídica , 4701159"/>
    <n v="1159"/>
    <x v="0"/>
    <n v="47"/>
    <n v="1159"/>
    <x v="1"/>
    <n v="576.33000000000004"/>
  </r>
  <r>
    <x v="3"/>
    <x v="8"/>
    <n v="38001025002"/>
    <x v="17"/>
    <s v="Evento - T210 - Provisão de INSS de 13o. Salário - Mês , Abril , 47160 - Jurídico Imobiliário , 4701160"/>
    <n v="1159"/>
    <x v="0"/>
    <n v="47"/>
    <n v="1160"/>
    <x v="2"/>
    <n v="431.45"/>
  </r>
  <r>
    <x v="3"/>
    <x v="0"/>
    <n v="38001013004"/>
    <x v="21"/>
    <s v="Evento - B410 - FGTS Salário , Abril , 47150 - Jurídico Corporativo , 4701150"/>
    <n v="1159"/>
    <x v="0"/>
    <n v="47"/>
    <n v="1150"/>
    <x v="0"/>
    <n v="5807.62"/>
  </r>
  <r>
    <x v="3"/>
    <x v="0"/>
    <n v="38001013004"/>
    <x v="21"/>
    <s v="Evento - B410 - FGTS Salário , Abril , 47159 - Diretoria Jurídica , 4701159"/>
    <n v="1159"/>
    <x v="0"/>
    <n v="47"/>
    <n v="1159"/>
    <x v="1"/>
    <n v="5409.47"/>
  </r>
  <r>
    <x v="3"/>
    <x v="0"/>
    <n v="38001013004"/>
    <x v="21"/>
    <s v="Evento - B410 - FGTS Salário , Abril , 47160 - Jurídico Imobiliário , 4701160"/>
    <n v="1159"/>
    <x v="0"/>
    <n v="47"/>
    <n v="1160"/>
    <x v="2"/>
    <n v="4923.3999999999996"/>
  </r>
  <r>
    <x v="3"/>
    <x v="2"/>
    <n v="38001018002"/>
    <x v="11"/>
    <s v="Item Despesa, NF: 42127 , Fornecedor: UNIDAS LOCACOES E SERVICOS S/A - 75609123000123 , Desc NF: Ticket 319135 , Método Pgmto: BR_BOLETO"/>
    <n v="1159"/>
    <x v="0"/>
    <n v="47"/>
    <n v="1159"/>
    <x v="1"/>
    <n v="-3703.1"/>
  </r>
  <r>
    <x v="3"/>
    <x v="12"/>
    <n v="38001004001"/>
    <x v="34"/>
    <s v="Evento - 1871 - Bônus - Lei 13.467 , Abril , 47160 - Jurídico Imobiliário , 4701160"/>
    <n v="1159"/>
    <x v="0"/>
    <n v="47"/>
    <n v="1160"/>
    <x v="2"/>
    <n v="118269.67"/>
  </r>
  <r>
    <x v="3"/>
    <x v="12"/>
    <n v="38001004001"/>
    <x v="34"/>
    <s v="Evento - 1871 - Bônus - Lei 13.467 , Abril , 47159 - Diretoria Jurídica , 4701159"/>
    <n v="1159"/>
    <x v="0"/>
    <n v="47"/>
    <n v="1159"/>
    <x v="1"/>
    <n v="321249.56"/>
  </r>
  <r>
    <x v="3"/>
    <x v="7"/>
    <n v="38001023002"/>
    <x v="16"/>
    <s v="Evento - T110 - Provisão de INSS de Férias - Mês , Abril , 47150 - Jurídico Corporativo , 4701150"/>
    <n v="1159"/>
    <x v="0"/>
    <n v="47"/>
    <n v="1150"/>
    <x v="0"/>
    <n v="865.3"/>
  </r>
  <r>
    <x v="3"/>
    <x v="7"/>
    <n v="38001023002"/>
    <x v="16"/>
    <s v="Evento - T110 - Provisão de INSS de Férias - Mês , Abril , 47159 - Diretoria Jurídica , 4701159"/>
    <n v="1159"/>
    <x v="0"/>
    <n v="47"/>
    <n v="1159"/>
    <x v="1"/>
    <n v="1675.07"/>
  </r>
  <r>
    <x v="3"/>
    <x v="7"/>
    <n v="38001023002"/>
    <x v="16"/>
    <s v="Evento - T110 - Provisão de INSS de Férias - Mês , Abril , 47160 - Jurídico Imobiliário , 4701160"/>
    <n v="1159"/>
    <x v="0"/>
    <n v="47"/>
    <n v="1160"/>
    <x v="2"/>
    <n v="575.32000000000005"/>
  </r>
  <r>
    <x v="3"/>
    <x v="8"/>
    <n v="38001025004"/>
    <x v="19"/>
    <s v="Evento - T220 - Provisão de FGTS de 13o. Salário  - Mês , Abril , 47150 - Jurídico Corporativo , 4701150"/>
    <n v="1159"/>
    <x v="0"/>
    <n v="47"/>
    <n v="1150"/>
    <x v="0"/>
    <n v="538.38"/>
  </r>
  <r>
    <x v="3"/>
    <x v="8"/>
    <n v="38001025004"/>
    <x v="19"/>
    <s v="Evento - T220 - Provisão de FGTS de 13o. Salário  - Mês , Abril , 47159 - Diretoria Jurídica , 4701159"/>
    <n v="1159"/>
    <x v="0"/>
    <n v="47"/>
    <n v="1159"/>
    <x v="1"/>
    <n v="539.16"/>
  </r>
  <r>
    <x v="3"/>
    <x v="8"/>
    <n v="38001025004"/>
    <x v="19"/>
    <s v="Evento - T220 - Provisão de FGTS de 13o. Salário  - Mês , Abril , 47160 - Jurídico Imobiliário , 4701160"/>
    <n v="1159"/>
    <x v="0"/>
    <n v="47"/>
    <n v="1160"/>
    <x v="2"/>
    <n v="403.65"/>
  </r>
  <r>
    <x v="3"/>
    <x v="0"/>
    <n v="38001013001"/>
    <x v="1"/>
    <s v="Item Despesa, NF: 28152990105093961 , Fornecedor: SERVICO NACIONAL DE APRENDIZAGEM INDUSTRIAL SENAI - 33564543000190 , Desc NF:  , Método Pgmto: BR_BOLETO"/>
    <n v="1159"/>
    <x v="0"/>
    <n v="47"/>
    <n v="1150"/>
    <x v="0"/>
    <n v="132.52000000000001"/>
  </r>
  <r>
    <x v="3"/>
    <x v="0"/>
    <n v="38001013001"/>
    <x v="1"/>
    <s v="Item Despesa, NF: 28152990105093961 , Fornecedor: SERVICO NACIONAL DE APRENDIZAGEM INDUSTRIAL SENAI - 33564543000190 , Desc NF:  , Método Pgmto: BR_BOLETO"/>
    <n v="1159"/>
    <x v="0"/>
    <n v="47"/>
    <n v="1159"/>
    <x v="1"/>
    <n v="130.94999999999999"/>
  </r>
  <r>
    <x v="3"/>
    <x v="0"/>
    <n v="38001013001"/>
    <x v="1"/>
    <s v="Evento - 1510 - Insuficiência de Saldo , Abril , 47150 - Jurídico Corporativo , 4701150"/>
    <n v="1159"/>
    <x v="0"/>
    <n v="47"/>
    <n v="1150"/>
    <x v="0"/>
    <n v="0.67"/>
  </r>
  <r>
    <x v="3"/>
    <x v="0"/>
    <n v="38001013001"/>
    <x v="1"/>
    <s v="Item Despesa, NF: 28152990105093961 , Fornecedor: SERVICO NACIONAL DE APRENDIZAGEM INDUSTRIAL SENAI - 33564543000190 , Desc NF:  , Método Pgmto: BR_BOLETO"/>
    <n v="1159"/>
    <x v="0"/>
    <n v="47"/>
    <n v="1160"/>
    <x v="2"/>
    <n v="124.22"/>
  </r>
  <r>
    <x v="3"/>
    <x v="3"/>
    <n v="38001011004"/>
    <x v="5"/>
    <s v="Item Despesa, NF: 5097 , Fornecedor: C LIMA SERVICOS LTDA - 04385911000135 , Desc NF: Ticket #317112 , Método Pgmto: BR_EFT"/>
    <n v="1159"/>
    <x v="0"/>
    <n v="47"/>
    <n v="1150"/>
    <x v="0"/>
    <n v="5000"/>
  </r>
  <r>
    <x v="3"/>
    <x v="1"/>
    <n v="38001027007"/>
    <x v="8"/>
    <s v="Evento - 5725 - Vale Transporte , Abril , 47150 - Jurídico Corporativo , 4701150"/>
    <n v="1159"/>
    <x v="0"/>
    <n v="47"/>
    <n v="1150"/>
    <x v="0"/>
    <n v="-413.26"/>
  </r>
  <r>
    <x v="3"/>
    <x v="8"/>
    <n v="38001025001"/>
    <x v="22"/>
    <s v="RATEIO PROVISÃO DE 13º salário 04/2026 PACAEMBU C.C_ 47160"/>
    <n v="1159"/>
    <x v="0"/>
    <n v="47"/>
    <n v="1160"/>
    <x v="2"/>
    <n v="3321.34"/>
  </r>
  <r>
    <x v="3"/>
    <x v="3"/>
    <n v="38001011003"/>
    <x v="14"/>
    <s v="Item Despesa, NF: 33351 , Fornecedor: BICALHO NAVARRO ADVOGADOS - 04095385000179 , Desc NF:  Ticket #318460 , Método Pgmto: BR_EFT"/>
    <n v="1159"/>
    <x v="0"/>
    <n v="47"/>
    <n v="1160"/>
    <x v="2"/>
    <n v="50000"/>
  </r>
  <r>
    <x v="3"/>
    <x v="4"/>
    <n v="38001019001"/>
    <x v="23"/>
    <s v="Item Despesa, NF: 319652 , Fornecedor: ITAU UNIBANCO HOLDING S.A. - 60872504000123 , Desc NF: Ticket 319652 - CTH Voll - Baixa , Método Pgmto: BR_BOLETO"/>
    <n v="1159"/>
    <x v="0"/>
    <n v="47"/>
    <n v="1159"/>
    <x v="1"/>
    <n v="2420.25"/>
  </r>
  <r>
    <x v="3"/>
    <x v="4"/>
    <n v="38001019005"/>
    <x v="10"/>
    <s v="Item Despesa, NF: 446473 , Fornecedor: UBER DO BRASIL TECNOLOGIA LTDA. - 17895646000187 , Desc NF: Ticket #318602 , Método Pgmto: BR_BOLETO"/>
    <n v="1159"/>
    <x v="0"/>
    <n v="47"/>
    <n v="1159"/>
    <x v="1"/>
    <n v="926.44"/>
  </r>
  <r>
    <x v="3"/>
    <x v="3"/>
    <n v="38001011003"/>
    <x v="14"/>
    <s v="Item Despesa, NF: 4437 , Fornecedor: REIS, SOUZA, TAKEISHI &amp; ARSUFFI SOCIEDADE DE ADVOGADOS - 09639999000198 , Desc NF: Ticket #317017 , Método Pgmto: BR_EFT"/>
    <n v="1159"/>
    <x v="0"/>
    <n v="47"/>
    <n v="1160"/>
    <x v="2"/>
    <n v="50000"/>
  </r>
  <r>
    <x v="3"/>
    <x v="9"/>
    <n v="38001001004"/>
    <x v="24"/>
    <s v="Item Despesa, NF: 473885 , Fornecedor: SERASA S.A. - 62173620009306 , Desc NF: Ticket #316023 , Método Pgmto: BR_BOLETO"/>
    <n v="1159"/>
    <x v="0"/>
    <n v="47"/>
    <n v="1150"/>
    <x v="0"/>
    <n v="5896.17"/>
  </r>
  <r>
    <x v="3"/>
    <x v="0"/>
    <n v="38001013001"/>
    <x v="1"/>
    <s v="Evento - 1510 - Insuficiência de Saldo , Abril , 47160 - Jurídico Imobiliário , 4701160"/>
    <n v="1159"/>
    <x v="0"/>
    <n v="47"/>
    <n v="1160"/>
    <x v="2"/>
    <n v="206.02"/>
  </r>
  <r>
    <x v="3"/>
    <x v="0"/>
    <n v="38001013001"/>
    <x v="1"/>
    <s v="Evento - 0001 - Salário , Abril , 47160 - Jurídico Imobiliário , 4701160"/>
    <n v="1159"/>
    <x v="0"/>
    <n v="47"/>
    <n v="1160"/>
    <x v="2"/>
    <n v="57559.39"/>
  </r>
  <r>
    <x v="3"/>
    <x v="1"/>
    <n v="38001027008"/>
    <x v="15"/>
    <s v="Item Despesa, NF: 95821588 , Fornecedor: VR BENEFICIOS E SERVICOS DE PROCESSAMENTO S.A - 02535864000133 , Desc NF: Ticket #320541 - REGULARIZAÇÃO DÉBITO AUTOMÁTICO , Método Pgmto: BR_BOLETO"/>
    <n v="1159"/>
    <x v="0"/>
    <n v="47"/>
    <n v="1150"/>
    <x v="0"/>
    <n v="1500"/>
  </r>
  <r>
    <x v="3"/>
    <x v="1"/>
    <n v="38001027008"/>
    <x v="15"/>
    <s v="Item Despesa, NF: 95821588 , Fornecedor: VR BENEFICIOS E SERVICOS DE PROCESSAMENTO S.A - 02535864000133 , Desc NF: Ticket #320541 - REGULARIZAÇÃO DÉBITO AUTOMÁTICO , Método Pgmto: BR_BOLETO"/>
    <n v="1159"/>
    <x v="0"/>
    <n v="47"/>
    <n v="1160"/>
    <x v="2"/>
    <n v="2600"/>
  </r>
  <r>
    <x v="3"/>
    <x v="7"/>
    <n v="38001023001"/>
    <x v="20"/>
    <s v="Evento - T100 - Provisão de Férias - Mês , Abril , 47150 - Jurídico Corporativo , 4701150"/>
    <n v="1159"/>
    <x v="0"/>
    <n v="47"/>
    <n v="1150"/>
    <x v="0"/>
    <n v="10118.66"/>
  </r>
  <r>
    <x v="3"/>
    <x v="7"/>
    <n v="38001023001"/>
    <x v="20"/>
    <s v="Evento - T100 - Provisão de Férias - Mês , Abril , 47159 - Diretoria Jurídica , 4701159"/>
    <n v="1159"/>
    <x v="0"/>
    <n v="47"/>
    <n v="1159"/>
    <x v="1"/>
    <n v="19587.91"/>
  </r>
  <r>
    <x v="3"/>
    <x v="7"/>
    <n v="38001023001"/>
    <x v="20"/>
    <s v="Evento - T100 - Provisão de Férias - Mês , Abril , 47160 - Jurídico Imobiliário , 4701160"/>
    <n v="1159"/>
    <x v="0"/>
    <n v="47"/>
    <n v="1160"/>
    <x v="2"/>
    <n v="6727.46"/>
  </r>
  <r>
    <x v="3"/>
    <x v="3"/>
    <n v="38001011004"/>
    <x v="5"/>
    <s v="Item Despesa, NF: 519 , Fornecedor: ATLAS GOVERNANCE TECNOLOGIA LTDA - 25462636000186 , Desc NF:  Ticket #316123 , Método Pgmto: BR_EFT"/>
    <n v="1159"/>
    <x v="0"/>
    <n v="47"/>
    <n v="1150"/>
    <x v="0"/>
    <n v="-37361.46"/>
  </r>
  <r>
    <x v="3"/>
    <x v="0"/>
    <n v="38001013001"/>
    <x v="1"/>
    <s v="Evento - 0001 - Salário , Abril , 47150 - Jurídico Corporativo , 4701150"/>
    <n v="1159"/>
    <x v="0"/>
    <n v="47"/>
    <n v="1150"/>
    <x v="0"/>
    <n v="70985.11"/>
  </r>
  <r>
    <x v="3"/>
    <x v="0"/>
    <n v="38001013001"/>
    <x v="1"/>
    <s v="Evento - 7010 - Insuficiência de Saldo , Abril , 47150 - Jurídico Corporativo , 4701150"/>
    <n v="1159"/>
    <x v="0"/>
    <n v="47"/>
    <n v="1150"/>
    <x v="0"/>
    <n v="-0.67"/>
  </r>
  <r>
    <x v="3"/>
    <x v="0"/>
    <n v="38001013001"/>
    <x v="1"/>
    <s v="Evento - 0001 - Salário , Abril , 47159 - Diretoria Jurídica , 4701159"/>
    <n v="1159"/>
    <x v="0"/>
    <n v="47"/>
    <n v="1159"/>
    <x v="1"/>
    <n v="57030.63"/>
  </r>
  <r>
    <x v="3"/>
    <x v="12"/>
    <n v="38001004001"/>
    <x v="34"/>
    <s v="Evento - 1871 - Bônus - Lei 13.467 , Abril , 47150 - Jurídico Corporativo , 4701150"/>
    <n v="1159"/>
    <x v="0"/>
    <n v="47"/>
    <n v="1150"/>
    <x v="0"/>
    <n v="-112323.66"/>
  </r>
  <r>
    <x v="3"/>
    <x v="6"/>
    <n v="38001008004"/>
    <x v="9"/>
    <s v="Frete, NF: 48188-1-20260330-15341234000170 , Fornecedor: PAO E TALHO SANDUICHERIA LTDA - 15341234000170 , Desc NF: Ticket #315312"/>
    <n v="1159"/>
    <x v="0"/>
    <n v="47"/>
    <n v="1159"/>
    <x v="1"/>
    <n v="176.4"/>
  </r>
  <r>
    <x v="3"/>
    <x v="0"/>
    <n v="38001013002"/>
    <x v="0"/>
    <s v="Rateio INSS Patronal 04.2026 - C.C 4701150"/>
    <n v="1159"/>
    <x v="0"/>
    <n v="47"/>
    <n v="1150"/>
    <x v="0"/>
    <n v="7259.59"/>
  </r>
  <r>
    <x v="3"/>
    <x v="0"/>
    <n v="38001013002"/>
    <x v="0"/>
    <s v="Rateio INSS Patronal 04.2026 - C.C 4701159"/>
    <n v="1159"/>
    <x v="0"/>
    <n v="47"/>
    <n v="1159"/>
    <x v="1"/>
    <n v="6761.85"/>
  </r>
  <r>
    <x v="3"/>
    <x v="0"/>
    <n v="38001013002"/>
    <x v="0"/>
    <s v="Rateio INSS Patronal 04.2026 - C.C 4701160"/>
    <n v="1159"/>
    <x v="0"/>
    <n v="47"/>
    <n v="1160"/>
    <x v="2"/>
    <n v="6154.28"/>
  </r>
  <r>
    <x v="3"/>
    <x v="0"/>
    <n v="38001013001"/>
    <x v="1"/>
    <s v="Evento - 8030 - Assistência Médica , Abril , 47150 - Jurídico Corporativo , 4701150"/>
    <n v="1159"/>
    <x v="0"/>
    <n v="47"/>
    <n v="1150"/>
    <x v="0"/>
    <n v="-647.4"/>
  </r>
  <r>
    <x v="3"/>
    <x v="0"/>
    <n v="38001013001"/>
    <x v="1"/>
    <s v="Evento - 8086 - Assistência Médica Dependente , Abril , 47150 - Jurídico Corporativo , 4701150"/>
    <n v="1159"/>
    <x v="0"/>
    <n v="47"/>
    <n v="1150"/>
    <x v="0"/>
    <n v="-870.96"/>
  </r>
  <r>
    <x v="3"/>
    <x v="0"/>
    <n v="38001013001"/>
    <x v="1"/>
    <s v="Evento - 8030 - Assistência Médica , Abril , 47159 - Diretoria Jurídica , 4701159"/>
    <n v="1159"/>
    <x v="0"/>
    <n v="47"/>
    <n v="1159"/>
    <x v="1"/>
    <n v="-647.4"/>
  </r>
  <r>
    <x v="3"/>
    <x v="0"/>
    <n v="38001013001"/>
    <x v="1"/>
    <s v="Evento - 8030 - Assistência Médica , Abril , 47160 - Jurídico Imobiliário , 4701160"/>
    <n v="1159"/>
    <x v="0"/>
    <n v="47"/>
    <n v="1160"/>
    <x v="2"/>
    <n v="-431.6"/>
  </r>
  <r>
    <x v="3"/>
    <x v="0"/>
    <n v="38001013001"/>
    <x v="1"/>
    <s v="Evento - 8086 - Assistência Médica Dependente , Abril , 47160 - Jurídico Imobiliário , 4701160"/>
    <n v="1159"/>
    <x v="0"/>
    <n v="47"/>
    <n v="1160"/>
    <x v="2"/>
    <n v="-655.16"/>
  </r>
  <r>
    <x v="3"/>
    <x v="12"/>
    <n v="38001004001"/>
    <x v="34"/>
    <s v="Evento - 1871 - Bônus - Lei 13.467 , Abril , 47159 - Diretoria Jurídica , 4701159"/>
    <n v="1159"/>
    <x v="0"/>
    <n v="47"/>
    <n v="1159"/>
    <x v="1"/>
    <n v="-321249.56"/>
  </r>
  <r>
    <x v="3"/>
    <x v="12"/>
    <n v="38001004001"/>
    <x v="34"/>
    <s v="Evento - 1871 - Bônus - Lei 13.467 , Abril , 47160 - Jurídico Imobiliário , 4701160"/>
    <n v="1159"/>
    <x v="0"/>
    <n v="47"/>
    <n v="1160"/>
    <x v="2"/>
    <n v="-118269.67"/>
  </r>
  <r>
    <x v="3"/>
    <x v="3"/>
    <n v="38001011004"/>
    <x v="5"/>
    <s v="- AMORTIZACAO DAS PARCELAS SEGUROS 03 2026 /47151 - Provis�es JurIdicas. / 4701151"/>
    <n v="1159"/>
    <x v="0"/>
    <n v="47"/>
    <n v="1150"/>
    <x v="0"/>
    <n v="12.32"/>
  </r>
  <r>
    <x v="3"/>
    <x v="3"/>
    <n v="38001011004"/>
    <x v="5"/>
    <s v="- AMORTIZACAO DAS PARCELAS SEGUROS 03 2026 /47151 - Provis�es JurIdicas. / 4701151"/>
    <n v="1159"/>
    <x v="0"/>
    <n v="47"/>
    <n v="1150"/>
    <x v="0"/>
    <n v="12.32"/>
  </r>
  <r>
    <x v="3"/>
    <x v="3"/>
    <n v="38001011004"/>
    <x v="5"/>
    <s v="- AMORTIZACAO DAS PARCELAS SEGUROS 03 2026 /47151 - Provis�es JurIdicas. / 4701249"/>
    <n v="1159"/>
    <x v="0"/>
    <n v="47"/>
    <n v="1150"/>
    <x v="0"/>
    <n v="-12.32"/>
  </r>
  <r>
    <x v="3"/>
    <x v="2"/>
    <n v="38001018001"/>
    <x v="12"/>
    <s v="Corre��o Manual Rateio Ve�culos NF 4161160"/>
    <n v="1159"/>
    <x v="0"/>
    <n v="47"/>
    <n v="1159"/>
    <x v="1"/>
    <n v="564.52"/>
  </r>
  <r>
    <x v="3"/>
    <x v="2"/>
    <n v="38001018002"/>
    <x v="11"/>
    <s v="Corre��o Manual Rateio Ve�culos NF 42127"/>
    <n v="1159"/>
    <x v="0"/>
    <n v="47"/>
    <n v="1159"/>
    <x v="1"/>
    <n v="4495"/>
  </r>
  <r>
    <x v="3"/>
    <x v="2"/>
    <n v="38001018007"/>
    <x v="3"/>
    <s v="Corre��o Manual Rateio Ve�culos NF 4338952"/>
    <n v="1159"/>
    <x v="0"/>
    <n v="47"/>
    <n v="1159"/>
    <x v="1"/>
    <n v="101.18"/>
  </r>
  <r>
    <x v="3"/>
    <x v="4"/>
    <n v="38001019001"/>
    <x v="23"/>
    <s v="Corre��o Manual Rateio Viagens NF 15990"/>
    <n v="1159"/>
    <x v="0"/>
    <n v="47"/>
    <n v="1159"/>
    <x v="1"/>
    <n v="50"/>
  </r>
  <r>
    <x v="3"/>
    <x v="4"/>
    <n v="38001019002"/>
    <x v="26"/>
    <s v="Corre��o Manual Rateio Viagens NF 15990"/>
    <n v="1159"/>
    <x v="0"/>
    <n v="47"/>
    <n v="1159"/>
    <x v="1"/>
    <n v="706"/>
  </r>
  <r>
    <x v="3"/>
    <x v="4"/>
    <n v="38001019001"/>
    <x v="23"/>
    <s v="Corre��o Manual Rateio Viagens NF 319652"/>
    <n v="1159"/>
    <x v="0"/>
    <n v="47"/>
    <n v="1159"/>
    <x v="1"/>
    <n v="1062.77"/>
  </r>
  <r>
    <x v="3"/>
    <x v="4"/>
    <n v="38001019002"/>
    <x v="26"/>
    <s v="Corre��o Manual Rateio Viagens NF 318788"/>
    <n v="1159"/>
    <x v="0"/>
    <n v="47"/>
    <n v="1159"/>
    <x v="1"/>
    <n v="5117.2"/>
  </r>
  <r>
    <x v="3"/>
    <x v="4"/>
    <n v="38001019005"/>
    <x v="10"/>
    <s v="Corre��o Manual Rateio Viagens NF 446473"/>
    <n v="1159"/>
    <x v="0"/>
    <n v="47"/>
    <n v="1159"/>
    <x v="1"/>
    <n v="807.88"/>
  </r>
  <r>
    <x v="4"/>
    <x v="2"/>
    <n v="38001018006"/>
    <x v="35"/>
    <s v="Depreciação / UNIDAS LOCAÇÕES / 05 2026"/>
    <n v="1159"/>
    <x v="0"/>
    <n v="47"/>
    <n v="1159"/>
    <x v="1"/>
    <n v="3297.32"/>
  </r>
  <r>
    <x v="4"/>
    <x v="6"/>
    <n v="38001008004"/>
    <x v="9"/>
    <s v="Item Despesa, NF: 116287 , Fornecedor: EUREKA COWORKING SERVICOS DE ESCRITORIO LTDA. - 31027504000129 , Desc NF: Ticket #323442 , Método Pgmto: BR_EFT"/>
    <n v="1159"/>
    <x v="0"/>
    <n v="47"/>
    <n v="1159"/>
    <x v="1"/>
    <n v="2520"/>
  </r>
  <r>
    <x v="4"/>
    <x v="3"/>
    <n v="38001011004"/>
    <x v="5"/>
    <s v="Item Despesa, NF: 260590097507063 , Fornecedor: SECRETARIA DA FAZENDA E PLANEJAMENTO - 46377222000129 , Desc NF: Ticket #323054 , Método Pgmto: BR_BOLETO"/>
    <n v="1159"/>
    <x v="0"/>
    <n v="47"/>
    <n v="1150"/>
    <x v="0"/>
    <n v="583.98"/>
  </r>
  <r>
    <x v="4"/>
    <x v="4"/>
    <n v="38001019004"/>
    <x v="6"/>
    <s v="Item Despesa, NF: REEMB#000148948533 , Fornecedor: Victor Vasconcelos Miranda , Desc NF:  , Método Pgmto: BR_EFT"/>
    <n v="1159"/>
    <x v="0"/>
    <n v="47"/>
    <n v="1159"/>
    <x v="1"/>
    <n v="20"/>
  </r>
  <r>
    <x v="4"/>
    <x v="3"/>
    <n v="38001011004"/>
    <x v="5"/>
    <s v="Item Despesa, NF: 4904 , Fornecedor: CONTATO DIARIO LTDA - 03501722000118 , Desc NF: Ticket #321253 , Método Pgmto: BR_EFT"/>
    <n v="1159"/>
    <x v="0"/>
    <n v="47"/>
    <n v="1150"/>
    <x v="0"/>
    <n v="200"/>
  </r>
  <r>
    <x v="4"/>
    <x v="4"/>
    <n v="38001019001"/>
    <x v="23"/>
    <s v="Item Despesa, NF: 21394 , Fornecedor: VOLL S.A. - 09306896000106 , Desc NF: Ticket 322566 , Método Pgmto: BR_BOLETO"/>
    <n v="1159"/>
    <x v="0"/>
    <n v="47"/>
    <n v="1159"/>
    <x v="1"/>
    <n v="2.4700000000000002"/>
  </r>
  <r>
    <x v="4"/>
    <x v="4"/>
    <n v="38001019002"/>
    <x v="26"/>
    <s v="Item Despesa, NF: 21394 , Fornecedor: VOLL S.A. - 09306896000106 , Desc NF: Ticket 322566 , Método Pgmto: BR_BOLETO"/>
    <n v="1159"/>
    <x v="0"/>
    <n v="47"/>
    <n v="1159"/>
    <x v="1"/>
    <n v="3455.58"/>
  </r>
  <r>
    <x v="4"/>
    <x v="3"/>
    <n v="38001011004"/>
    <x v="5"/>
    <s v="Item Despesa, NF: 260590098793667 , Fornecedor: SECRETARIA DA FAZENDA E PLANEJAMENTO - 46377222000129 , Desc NF: Ticket #323070 , Método Pgmto: BR_BOLETO"/>
    <n v="1159"/>
    <x v="0"/>
    <n v="47"/>
    <n v="1150"/>
    <x v="0"/>
    <n v="273.55"/>
  </r>
  <r>
    <x v="4"/>
    <x v="3"/>
    <n v="38001011004"/>
    <x v="5"/>
    <s v="Item Despesa, NF: 322509 , Fornecedor: VICTOR VASCONCELOS MIRANDA - 07203917410 , Desc NF: TICKET 322509 , Método Pgmto: BR_EFT"/>
    <n v="1159"/>
    <x v="0"/>
    <n v="47"/>
    <n v="1159"/>
    <x v="1"/>
    <n v="2016"/>
  </r>
  <r>
    <x v="4"/>
    <x v="3"/>
    <n v="38001011003"/>
    <x v="14"/>
    <s v="Item Despesa, NF: 908 , Fornecedor: SERUR ADVOGADOS - 03003646000110 , Desc NF: Ticket 323549 , Método Pgmto: BR_EFT"/>
    <n v="1159"/>
    <x v="0"/>
    <n v="47"/>
    <n v="1150"/>
    <x v="0"/>
    <n v="11720.84"/>
  </r>
  <r>
    <x v="4"/>
    <x v="3"/>
    <n v="38001011004"/>
    <x v="5"/>
    <s v="Item Despesa, NF: 1000135061 , Fornecedor: SECRETARIA DA FAZENDA E PLANEJAMENTO - 46377222000129 , Desc NF: Ticket #324363 - DARE - JUCESP  Ref. Registro Constituição Pacaembu Arapongas 635 , Método Pgmto: BR_BOLETO"/>
    <n v="1159"/>
    <x v="0"/>
    <n v="47"/>
    <n v="1150"/>
    <x v="0"/>
    <n v="273.55"/>
  </r>
  <r>
    <x v="4"/>
    <x v="5"/>
    <n v="38001002001"/>
    <x v="7"/>
    <s v="Item Despesa, NF: 1000135481 , Fornecedor: 30 TABELIÃO DE NOTAS DA CAPITAL - 45576691000104 , Desc NF: Ticket #324537 , Método Pgmto: BR_EFT"/>
    <n v="1159"/>
    <x v="0"/>
    <n v="47"/>
    <n v="1150"/>
    <x v="0"/>
    <n v="138.74"/>
  </r>
  <r>
    <x v="4"/>
    <x v="5"/>
    <n v="38001002001"/>
    <x v="7"/>
    <s v="Item Despesa, NF: 1000135471 , Fornecedor: 30 TABELIÃO DE NOTAS DA CAPITAL - 45576691000104 , Desc NF: Ticket #324536 , Método Pgmto: BR_EFT"/>
    <n v="1159"/>
    <x v="0"/>
    <n v="47"/>
    <n v="1150"/>
    <x v="0"/>
    <n v="656.36"/>
  </r>
  <r>
    <x v="4"/>
    <x v="3"/>
    <n v="38001011002"/>
    <x v="4"/>
    <s v="Item Despesa, NF: 322938 , Fornecedor: CARLA MOROZETTI BLANCO - 25585715836 , Desc NF: Ticket #322938 - RPA , Método Pgmto: BR_EFT"/>
    <n v="1159"/>
    <x v="0"/>
    <n v="47"/>
    <n v="1160"/>
    <x v="2"/>
    <n v="5000"/>
  </r>
  <r>
    <x v="4"/>
    <x v="3"/>
    <n v="38001011002"/>
    <x v="4"/>
    <s v="Item Despesa, NF: 042026IRRF , Fornecedor: SECRETARIA DA RECEITA FEDERAL DO BRASIL , Desc NF:  , Método Pgmto: BR_TAX_BARCODE"/>
    <n v="1159"/>
    <x v="0"/>
    <n v="47"/>
    <n v="1150"/>
    <x v="0"/>
    <n v="861.84"/>
  </r>
  <r>
    <x v="4"/>
    <x v="3"/>
    <n v="38001011003"/>
    <x v="14"/>
    <s v="Item Despesa, NF: 042026IRRF , Fornecedor: SECRETARIA DA RECEITA FEDERAL DO BRASIL , Desc NF:  , Método Pgmto: BR_TAX_BARCODE"/>
    <n v="1159"/>
    <x v="0"/>
    <n v="47"/>
    <n v="1150"/>
    <x v="0"/>
    <n v="16.899999999999999"/>
  </r>
  <r>
    <x v="4"/>
    <x v="3"/>
    <n v="38001011003"/>
    <x v="14"/>
    <s v="Item Despesa, NF: 042026IRRF , Fornecedor: SECRETARIA DA RECEITA FEDERAL DO BRASIL , Desc NF:  , Método Pgmto: BR_TAX_BARCODE"/>
    <n v="1159"/>
    <x v="0"/>
    <n v="47"/>
    <n v="1160"/>
    <x v="2"/>
    <n v="1500"/>
  </r>
  <r>
    <x v="4"/>
    <x v="9"/>
    <n v="38001001004"/>
    <x v="24"/>
    <s v="Item Despesa, NF: 042026IRRF , Fornecedor: SECRETARIA DA RECEITA FEDERAL DO BRASIL , Desc NF:  , Método Pgmto: BR_TAX_BARCODE"/>
    <n v="1159"/>
    <x v="0"/>
    <n v="47"/>
    <n v="1150"/>
    <x v="0"/>
    <n v="88.44"/>
  </r>
  <r>
    <x v="4"/>
    <x v="3"/>
    <n v="38001011004"/>
    <x v="5"/>
    <s v="Item Despesa, NF: 260590090111563 , Fornecedor: SECRETARIA DA FAZENDA E PLANEJAMENTO - 46377222000129 , Desc NF: Ticket 321007 , Método Pgmto: BR_BOLETO"/>
    <n v="1159"/>
    <x v="0"/>
    <n v="47"/>
    <n v="1150"/>
    <x v="0"/>
    <n v="164.05"/>
  </r>
  <r>
    <x v="4"/>
    <x v="8"/>
    <n v="38001025004"/>
    <x v="19"/>
    <s v="Evento - T220 - Provisão de FGTS de 13o. Salário  - Mês"/>
    <n v="1159"/>
    <x v="0"/>
    <n v="47"/>
    <n v="1150"/>
    <x v="0"/>
    <n v="442.66"/>
  </r>
  <r>
    <x v="4"/>
    <x v="8"/>
    <n v="38001025004"/>
    <x v="19"/>
    <s v="Evento - T220 - Provisão de FGTS de 13o. Salário  - Mês"/>
    <n v="1159"/>
    <x v="0"/>
    <n v="47"/>
    <n v="1159"/>
    <x v="1"/>
    <n v="433.15"/>
  </r>
  <r>
    <x v="4"/>
    <x v="8"/>
    <n v="38001025004"/>
    <x v="19"/>
    <s v="Evento - T220 - Provisão de FGTS de 13o. Salário  - Mês"/>
    <n v="1159"/>
    <x v="0"/>
    <n v="47"/>
    <n v="1160"/>
    <x v="2"/>
    <n v="403.65"/>
  </r>
  <r>
    <x v="4"/>
    <x v="8"/>
    <n v="38001025002"/>
    <x v="17"/>
    <s v="Evento - T210 - Provisão de INSS de 13o. Salário - Mês"/>
    <n v="1159"/>
    <x v="0"/>
    <n v="47"/>
    <n v="1150"/>
    <x v="0"/>
    <n v="5521.88"/>
  </r>
  <r>
    <x v="4"/>
    <x v="8"/>
    <n v="38001025002"/>
    <x v="17"/>
    <s v="Evento - T215 - Provisão Desoner.INSS 13o Salário-Mês"/>
    <n v="1159"/>
    <x v="0"/>
    <n v="47"/>
    <n v="1150"/>
    <x v="0"/>
    <n v="-5048.75"/>
  </r>
  <r>
    <x v="4"/>
    <x v="8"/>
    <n v="38001025002"/>
    <x v="17"/>
    <s v="Evento - T210 - Provisão de INSS de 13o. Salário - Mês"/>
    <n v="1159"/>
    <x v="0"/>
    <n v="47"/>
    <n v="1159"/>
    <x v="1"/>
    <n v="5877.3"/>
  </r>
  <r>
    <x v="4"/>
    <x v="8"/>
    <n v="38001025002"/>
    <x v="17"/>
    <s v="Evento - T215 - Provisão Desoner.INSS 13o Salário-Mês"/>
    <n v="1159"/>
    <x v="0"/>
    <n v="47"/>
    <n v="1159"/>
    <x v="1"/>
    <n v="-5414.3"/>
  </r>
  <r>
    <x v="4"/>
    <x v="8"/>
    <n v="38001025002"/>
    <x v="17"/>
    <s v="Evento - T210 - Provisão de INSS de 13o. Salário - Mês"/>
    <n v="1159"/>
    <x v="0"/>
    <n v="47"/>
    <n v="1160"/>
    <x v="2"/>
    <n v="5477.07"/>
  </r>
  <r>
    <x v="4"/>
    <x v="8"/>
    <n v="38001025002"/>
    <x v="17"/>
    <s v="Evento - T215 - Provisão Desoner.INSS 13o Salário-Mês"/>
    <n v="1159"/>
    <x v="0"/>
    <n v="47"/>
    <n v="1160"/>
    <x v="2"/>
    <n v="-5045.59"/>
  </r>
  <r>
    <x v="4"/>
    <x v="0"/>
    <n v="38001013001"/>
    <x v="1"/>
    <s v="Evento - 1510 - Insuficiência de Saldo /47150 - Jurídico Corporativo"/>
    <n v="1159"/>
    <x v="0"/>
    <n v="47"/>
    <n v="1150"/>
    <x v="0"/>
    <n v="0.67"/>
  </r>
  <r>
    <x v="4"/>
    <x v="0"/>
    <n v="38001013001"/>
    <x v="1"/>
    <s v="Evento - 0001 - Salário47150 - Jurídico Corporativo"/>
    <n v="1159"/>
    <x v="0"/>
    <n v="47"/>
    <n v="1150"/>
    <x v="0"/>
    <n v="71161.119999999995"/>
  </r>
  <r>
    <x v="4"/>
    <x v="0"/>
    <n v="38001013001"/>
    <x v="1"/>
    <s v="Evento - 1510 - Insuficiência de Saldo47150 - Jurídico Corporativo"/>
    <n v="1159"/>
    <x v="0"/>
    <n v="47"/>
    <n v="1150"/>
    <x v="0"/>
    <n v="-0.67"/>
  </r>
  <r>
    <x v="4"/>
    <x v="0"/>
    <n v="38001013002"/>
    <x v="0"/>
    <s v="Evento - 1510 - Insuficiência de Saldo47150 - Jurídico Corporativo"/>
    <n v="1159"/>
    <x v="0"/>
    <n v="47"/>
    <n v="1150"/>
    <x v="0"/>
    <n v="0.67"/>
  </r>
  <r>
    <x v="4"/>
    <x v="0"/>
    <n v="38001013002"/>
    <x v="0"/>
    <s v="Evento - 1510 - Insuficiência de Saldo /47150 - Jurídico Corporativo"/>
    <n v="1159"/>
    <x v="0"/>
    <n v="47"/>
    <n v="1150"/>
    <x v="0"/>
    <n v="-0.67"/>
  </r>
  <r>
    <x v="4"/>
    <x v="0"/>
    <n v="38001013002"/>
    <x v="0"/>
    <s v="Evento - 0001 - Salário47150 - Jurídico Corporativo"/>
    <n v="1159"/>
    <x v="0"/>
    <n v="47"/>
    <n v="1150"/>
    <x v="0"/>
    <n v="-71161.119999999995"/>
  </r>
  <r>
    <x v="4"/>
    <x v="0"/>
    <n v="38001013001"/>
    <x v="1"/>
    <s v="Evento - 0001 - Salário47159 - Diretoria Jurídica"/>
    <n v="1159"/>
    <x v="0"/>
    <n v="47"/>
    <n v="1159"/>
    <x v="1"/>
    <n v="49662.17"/>
  </r>
  <r>
    <x v="4"/>
    <x v="0"/>
    <n v="38001013002"/>
    <x v="0"/>
    <s v="Evento - 0001 - Salário47159 - Diretoria Jurídica"/>
    <n v="1159"/>
    <x v="0"/>
    <n v="47"/>
    <n v="1159"/>
    <x v="1"/>
    <n v="-49662.17"/>
  </r>
  <r>
    <x v="4"/>
    <x v="0"/>
    <n v="38001013001"/>
    <x v="1"/>
    <s v="Evento - 0001 - Salário47160 - Jurídico Imobiliário"/>
    <n v="1159"/>
    <x v="0"/>
    <n v="47"/>
    <n v="1160"/>
    <x v="2"/>
    <n v="47713.25"/>
  </r>
  <r>
    <x v="4"/>
    <x v="0"/>
    <n v="38001013001"/>
    <x v="1"/>
    <s v="Evento - 8110 - Outros Descontos47160 - Jurídico Imobiliário"/>
    <n v="1159"/>
    <x v="0"/>
    <n v="47"/>
    <n v="1160"/>
    <x v="2"/>
    <n v="-9"/>
  </r>
  <r>
    <x v="4"/>
    <x v="0"/>
    <n v="38001013001"/>
    <x v="1"/>
    <s v="Evento - 1510 - Insuficiência de Saldo47160 - Jurídico Imobiliário"/>
    <n v="1159"/>
    <x v="0"/>
    <n v="47"/>
    <n v="1160"/>
    <x v="2"/>
    <n v="-206.02"/>
  </r>
  <r>
    <x v="4"/>
    <x v="0"/>
    <n v="38001013002"/>
    <x v="0"/>
    <s v="Evento - 8110 - Outros Descontos47160 - Jurídico Imobiliário"/>
    <n v="1159"/>
    <x v="0"/>
    <n v="47"/>
    <n v="1160"/>
    <x v="2"/>
    <n v="9"/>
  </r>
  <r>
    <x v="4"/>
    <x v="0"/>
    <n v="38001013002"/>
    <x v="0"/>
    <s v="Evento - 1510 - Insuficiência de Saldo47160 - Jurídico Imobiliário"/>
    <n v="1159"/>
    <x v="0"/>
    <n v="47"/>
    <n v="1160"/>
    <x v="2"/>
    <n v="206.02"/>
  </r>
  <r>
    <x v="4"/>
    <x v="0"/>
    <n v="38001013002"/>
    <x v="0"/>
    <s v="Evento - 0001 - Salário47160 - Jurídico Imobiliário"/>
    <n v="1159"/>
    <x v="0"/>
    <n v="47"/>
    <n v="1160"/>
    <x v="2"/>
    <n v="-47713.25"/>
  </r>
  <r>
    <x v="4"/>
    <x v="3"/>
    <n v="38001011002"/>
    <x v="4"/>
    <s v="Item Despesa, NF: 776 , Fornecedor: RIBEIRO PINTO ADVOGADOS ASSOCIADOS - 04612076000129 , Desc NF: Ticket #322204 , Método Pgmto: BR_EFT"/>
    <n v="1159"/>
    <x v="0"/>
    <n v="47"/>
    <n v="1150"/>
    <x v="0"/>
    <n v="37576.11"/>
  </r>
  <r>
    <x v="4"/>
    <x v="3"/>
    <n v="38001011002"/>
    <x v="4"/>
    <s v="Item Despesa, NF: 775 , Fornecedor: RIBEIRO PINTO ADVOGADOS ASSOCIADOS - 04612076000129 , Desc NF: Ticket #322202 , Método Pgmto: BR_EFT"/>
    <n v="1159"/>
    <x v="0"/>
    <n v="47"/>
    <n v="1150"/>
    <x v="0"/>
    <n v="43926.239999999998"/>
  </r>
  <r>
    <x v="4"/>
    <x v="2"/>
    <n v="38001018007"/>
    <x v="3"/>
    <s v="Item Despesa, NF: 5690644 , Fornecedor: ALELO INSTITUICAO DE PAGAMENTO SA - 04740876000125 , Desc NF: Ticket #322382 , Método Pgmto: BR_BOLETO"/>
    <n v="1159"/>
    <x v="0"/>
    <n v="47"/>
    <n v="1159"/>
    <x v="1"/>
    <n v="846.7"/>
  </r>
  <r>
    <x v="4"/>
    <x v="1"/>
    <n v="38001027005"/>
    <x v="2"/>
    <s v="Item Despesa, NF: 85173645541 , Fornecedor: CAIXA VIDA E PREVIDENCIA S/A - 03730204000176 , Desc NF: Ticket 325508 , Método Pgmto: BR_BOLETO"/>
    <n v="1159"/>
    <x v="0"/>
    <n v="47"/>
    <n v="1150"/>
    <x v="0"/>
    <n v="192.72"/>
  </r>
  <r>
    <x v="4"/>
    <x v="1"/>
    <n v="38001027005"/>
    <x v="2"/>
    <s v="Item Despesa, NF: 85173645541 , Fornecedor: CAIXA VIDA E PREVIDENCIA S/A - 03730204000176 , Desc NF: Ticket 325508 , Método Pgmto: BR_BOLETO"/>
    <n v="1159"/>
    <x v="0"/>
    <n v="47"/>
    <n v="1160"/>
    <x v="2"/>
    <n v="157.68"/>
  </r>
  <r>
    <x v="4"/>
    <x v="3"/>
    <n v="38001011004"/>
    <x v="5"/>
    <s v="Item Despesa, NF: 5148 , Fornecedor: C LIMA SERVICOS LTDA - 04385911000135 , Desc NF: Ticket #322134 , Método Pgmto: BR_EFT"/>
    <n v="1159"/>
    <x v="0"/>
    <n v="47"/>
    <n v="1150"/>
    <x v="0"/>
    <n v="6237.05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50"/>
    <x v="0"/>
    <n v="14491.66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50"/>
    <x v="0"/>
    <n v="-14491.66"/>
  </r>
  <r>
    <x v="4"/>
    <x v="1"/>
    <n v="38001027004"/>
    <x v="25"/>
    <s v="Item Despesa, NF: 610401726019367474 , Fornecedor: SUL AMERICA ODONTOLOGICO S.A - 11973134000105 , Desc NF: Ticket 325510 , Método Pgmto: BR_BOLETO"/>
    <n v="1159"/>
    <x v="0"/>
    <n v="47"/>
    <n v="1150"/>
    <x v="0"/>
    <n v="317.45999999999998"/>
  </r>
  <r>
    <x v="4"/>
    <x v="4"/>
    <n v="38001019002"/>
    <x v="26"/>
    <s v="Item Despesa, NF: 52026 , Fornecedor: ITAU UNIBANCO HOLDING S.A. - 60872504000123 , Desc NF: Ticket #325250 - CARTÃO CRÉDITO FACILITIES , Método Pgmto: BR_BOLETO"/>
    <n v="1159"/>
    <x v="0"/>
    <n v="47"/>
    <n v="1159"/>
    <x v="1"/>
    <n v="19119.830000000002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59"/>
    <x v="1"/>
    <n v="3923.2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59"/>
    <x v="1"/>
    <n v="-3923.2"/>
  </r>
  <r>
    <x v="4"/>
    <x v="1"/>
    <n v="38001027004"/>
    <x v="25"/>
    <s v="Item Despesa, NF: 610401726019367474 , Fornecedor: SUL AMERICA ODONTOLOGICO S.A - 11973134000105 , Desc NF: Ticket 325510 , Método Pgmto: BR_BOLETO"/>
    <n v="1159"/>
    <x v="0"/>
    <n v="47"/>
    <n v="1159"/>
    <x v="1"/>
    <n v="86.58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60"/>
    <x v="2"/>
    <n v="5896.44"/>
  </r>
  <r>
    <x v="4"/>
    <x v="1"/>
    <n v="38001027003"/>
    <x v="28"/>
    <s v="Item Despesa, NF: 65964291916910CANCELADO , Fornecedor: SUL AMERICA COMPANHIA DE SEGURO SAUDE - 01685053000156 , Desc NF: Ticket 325560 , Método Pgmto: BR_BOLETO"/>
    <n v="1159"/>
    <x v="0"/>
    <n v="47"/>
    <n v="1160"/>
    <x v="2"/>
    <n v="-5896.44"/>
  </r>
  <r>
    <x v="4"/>
    <x v="1"/>
    <n v="38001027004"/>
    <x v="25"/>
    <s v="Item Despesa, NF: 610401726019367474 , Fornecedor: SUL AMERICA ODONTOLOGICO S.A - 11973134000105 , Desc NF: Ticket 325510 , Método Pgmto: BR_BOLETO"/>
    <n v="1159"/>
    <x v="0"/>
    <n v="47"/>
    <n v="1160"/>
    <x v="2"/>
    <n v="404.04"/>
  </r>
  <r>
    <x v="4"/>
    <x v="1"/>
    <n v="38001027007"/>
    <x v="8"/>
    <s v="Item Despesa, NF: 403085 , Fornecedor: RB REDE DE BENEFICIOS E GESTAO EMPRESARIAL LTDA - 00342669000161 , Desc NF: Ticket #323647 - BAIXA ADTO3437915 , Método Pgmto: BR_BOLETO"/>
    <n v="1159"/>
    <x v="0"/>
    <n v="47"/>
    <n v="1150"/>
    <x v="0"/>
    <n v="178.32"/>
  </r>
  <r>
    <x v="4"/>
    <x v="2"/>
    <n v="38001018001"/>
    <x v="12"/>
    <s v="Item Despesa, NF: 5554082 , Fornecedor: ALELO INSTITUICAO DE PAGAMENTO SA - 04740876000125 , Desc NF: Ticket #322461 , Método Pgmto: BR_BOLETO"/>
    <n v="1159"/>
    <x v="0"/>
    <n v="47"/>
    <n v="1159"/>
    <x v="1"/>
    <n v="2429.8200000000002"/>
  </r>
  <r>
    <x v="4"/>
    <x v="5"/>
    <n v="38001002004"/>
    <x v="36"/>
    <s v="Item Despesa, NF: 88199 , Fornecedor: COPAGEL COPIAS E IMPRESSOES LTDA - 47678263000118 , Desc NF: Ticket #322491 , Método Pgmto: BR_EFT"/>
    <n v="1159"/>
    <x v="0"/>
    <n v="47"/>
    <n v="1160"/>
    <x v="2"/>
    <n v="97.5"/>
  </r>
  <r>
    <x v="4"/>
    <x v="1"/>
    <n v="38001027007"/>
    <x v="8"/>
    <s v="Item Despesa, NF: 55493 , Fornecedor: RB REDE DE BENEFICIOS E GESTAO EMPRESARIAL LTDA - 00342669000161 , Desc NF: Ticket #318483 - BAIXA ADTO3437915 , Método Pgmto: BR_BOLETO"/>
    <n v="1159"/>
    <x v="0"/>
    <n v="47"/>
    <n v="1150"/>
    <x v="0"/>
    <n v="814.96"/>
  </r>
  <r>
    <x v="4"/>
    <x v="4"/>
    <n v="38001019002"/>
    <x v="26"/>
    <s v="Item Despesa, NF: 5202666 , Fornecedor: ITAU UNIBANCO HOLDING S.A. - 60872504000123 , Desc NF:  Ticket #325672 - CARTÃO DE CRÉDITO. VOLL , Método Pgmto: BR_BOLETO"/>
    <n v="1159"/>
    <x v="0"/>
    <n v="47"/>
    <n v="1159"/>
    <x v="1"/>
    <n v="434.41"/>
  </r>
  <r>
    <x v="4"/>
    <x v="5"/>
    <n v="38001002001"/>
    <x v="7"/>
    <s v="Item Despesa, NF: 326039 , Fornecedor: 30 TABELIÃO DE NOTAS DA CAPITAL - 45576691000104 , Desc NF: Ticket 326039 , Método Pgmto: BR_EFT"/>
    <n v="1159"/>
    <x v="0"/>
    <n v="47"/>
    <n v="1160"/>
    <x v="2"/>
    <n v="137.80000000000001"/>
  </r>
  <r>
    <x v="4"/>
    <x v="0"/>
    <n v="38001013002"/>
    <x v="0"/>
    <s v="Item Despesa, NF: 1260519390398918 , Fornecedor: CAIXA ECONOMICA FEDERAL , Desc NF:  , Método Pgmto: BR_TAX_BARCODE"/>
    <n v="1159"/>
    <x v="0"/>
    <n v="47"/>
    <n v="1150"/>
    <x v="0"/>
    <n v="22676.14"/>
  </r>
  <r>
    <x v="4"/>
    <x v="1"/>
    <n v="38001027003"/>
    <x v="28"/>
    <s v="Item Despesa, NF: 65964291916910 , Fornecedor: SUL AMERICA COMPANHIA DE SEGURO SAUDE - 01685053000156 , Desc NF: Ticket 325560 , Método Pgmto: BR_BOLETO"/>
    <n v="1159"/>
    <x v="0"/>
    <n v="47"/>
    <n v="1150"/>
    <x v="0"/>
    <n v="14491.66"/>
  </r>
  <r>
    <x v="4"/>
    <x v="1"/>
    <n v="38001027003"/>
    <x v="28"/>
    <s v="Item Despesa, NF: 65964291916910 , Fornecedor: SUL AMERICA COMPANHIA DE SEGURO SAUDE - 01685053000156 , Desc NF: Ticket 325560 , Método Pgmto: BR_BOLETO"/>
    <n v="1159"/>
    <x v="0"/>
    <n v="47"/>
    <n v="1159"/>
    <x v="1"/>
    <n v="3923.2"/>
  </r>
  <r>
    <x v="4"/>
    <x v="1"/>
    <n v="38001027003"/>
    <x v="28"/>
    <s v="Item Despesa, NF: 65964291916910 , Fornecedor: SUL AMERICA COMPANHIA DE SEGURO SAUDE - 01685053000156 , Desc NF: Ticket 325560 , Método Pgmto: BR_BOLETO"/>
    <n v="1159"/>
    <x v="0"/>
    <n v="47"/>
    <n v="1160"/>
    <x v="2"/>
    <n v="5896.44"/>
  </r>
  <r>
    <x v="4"/>
    <x v="1"/>
    <n v="38001027008"/>
    <x v="15"/>
    <s v="Item Despesa, NF: 97295418 , Fornecedor: VR BENEFICIOS E SERVICOS DE PROCESSAMENTO S.A - 02535864000133 , Desc NF:  Ticket #326894 - DEBITO AUTOMATICO , Método Pgmto: BR_BOLETO"/>
    <n v="1159"/>
    <x v="0"/>
    <n v="47"/>
    <n v="1150"/>
    <x v="0"/>
    <n v="7560"/>
  </r>
  <r>
    <x v="4"/>
    <x v="1"/>
    <n v="38001027008"/>
    <x v="15"/>
    <s v="Item Despesa, NF: 97295418 , Fornecedor: VR BENEFICIOS E SERVICOS DE PROCESSAMENTO S.A - 02535864000133 , Desc NF:  Ticket #326894 - DEBITO AUTOMATICO , Método Pgmto: BR_BOLETO"/>
    <n v="1159"/>
    <x v="0"/>
    <n v="47"/>
    <n v="1159"/>
    <x v="1"/>
    <n v="1970"/>
  </r>
  <r>
    <x v="4"/>
    <x v="1"/>
    <n v="38001027008"/>
    <x v="15"/>
    <s v="Item Despesa, NF: 97295418 , Fornecedor: VR BENEFICIOS E SERVICOS DE PROCESSAMENTO S.A - 02535864000133 , Desc NF:  Ticket #326894 - DEBITO AUTOMATICO , Método Pgmto: BR_BOLETO"/>
    <n v="1159"/>
    <x v="0"/>
    <n v="47"/>
    <n v="1160"/>
    <x v="2"/>
    <n v="5610"/>
  </r>
  <r>
    <x v="4"/>
    <x v="7"/>
    <n v="38001023002"/>
    <x v="16"/>
    <s v="Evento - T110 - Provisão de INSS de Férias - Mês"/>
    <n v="1159"/>
    <x v="0"/>
    <n v="47"/>
    <n v="1150"/>
    <x v="0"/>
    <n v="1421.97"/>
  </r>
  <r>
    <x v="4"/>
    <x v="7"/>
    <n v="38001023002"/>
    <x v="16"/>
    <s v="Evento - T110 - Provisão de INSS de Férias - Mês"/>
    <n v="1159"/>
    <x v="0"/>
    <n v="47"/>
    <n v="1159"/>
    <x v="1"/>
    <n v="1339.25"/>
  </r>
  <r>
    <x v="4"/>
    <x v="7"/>
    <n v="38001023002"/>
    <x v="16"/>
    <s v="Evento - T110 - Provisão de INSS de Férias - Mês"/>
    <n v="1159"/>
    <x v="0"/>
    <n v="47"/>
    <n v="1160"/>
    <x v="2"/>
    <n v="1248.05"/>
  </r>
  <r>
    <x v="4"/>
    <x v="2"/>
    <n v="38001018002"/>
    <x v="11"/>
    <s v="Depreciação / UNIDAS LOCAÇÕES / 05 2026"/>
    <n v="1159"/>
    <x v="0"/>
    <n v="47"/>
    <n v="1159"/>
    <x v="1"/>
    <n v="3297.32"/>
  </r>
  <r>
    <x v="4"/>
    <x v="2"/>
    <n v="38001018006"/>
    <x v="35"/>
    <s v="Depreciação / UNIDAS LOCAÇÕES / 05 2026"/>
    <n v="1159"/>
    <x v="0"/>
    <n v="47"/>
    <n v="1159"/>
    <x v="1"/>
    <n v="-3297.32"/>
  </r>
  <r>
    <x v="4"/>
    <x v="8"/>
    <n v="38001025002"/>
    <x v="17"/>
    <s v="Evento - T210 - Provisão de INSS de 13o. Salário - Mês"/>
    <n v="1159"/>
    <x v="0"/>
    <n v="47"/>
    <n v="1150"/>
    <x v="0"/>
    <n v="-5521.88"/>
  </r>
  <r>
    <x v="4"/>
    <x v="8"/>
    <n v="38001025002"/>
    <x v="17"/>
    <s v="Evento - T210 - Provisão de INSS de 13o. Salário - Mês"/>
    <n v="1159"/>
    <x v="0"/>
    <n v="47"/>
    <n v="1159"/>
    <x v="1"/>
    <n v="-5877.3"/>
  </r>
  <r>
    <x v="4"/>
    <x v="8"/>
    <n v="38001025002"/>
    <x v="17"/>
    <s v="Evento - T210 - Provisão de INSS de 13o. Salário - Mês"/>
    <n v="1159"/>
    <x v="0"/>
    <n v="47"/>
    <n v="1160"/>
    <x v="2"/>
    <n v="-5477.07"/>
  </r>
  <r>
    <x v="4"/>
    <x v="8"/>
    <n v="38001025002"/>
    <x v="17"/>
    <s v="Evento - T210 - Provisão de INSS de 13o. Salário - Mês"/>
    <n v="1159"/>
    <x v="0"/>
    <n v="47"/>
    <n v="1150"/>
    <x v="0"/>
    <n v="1026.45"/>
  </r>
  <r>
    <x v="4"/>
    <x v="8"/>
    <n v="38001025002"/>
    <x v="17"/>
    <s v="Evento - T210 - Provisão de INSS de 13o. Salário - Mês"/>
    <n v="1159"/>
    <x v="0"/>
    <n v="47"/>
    <n v="1159"/>
    <x v="1"/>
    <n v="1004.44"/>
  </r>
  <r>
    <x v="4"/>
    <x v="8"/>
    <n v="38001025002"/>
    <x v="17"/>
    <s v="Evento - T210 - Provisão de INSS de 13o. Salário - Mês"/>
    <n v="1159"/>
    <x v="0"/>
    <n v="47"/>
    <n v="1160"/>
    <x v="2"/>
    <n v="936.03"/>
  </r>
  <r>
    <x v="4"/>
    <x v="3"/>
    <n v="38001011004"/>
    <x v="5"/>
    <s v="- AMORTIZACAO DAS PARCELAS SEGUROS 05 2026 /47150 - JURIDICO CORPORATIVO / 4701150"/>
    <n v="1159"/>
    <x v="0"/>
    <n v="47"/>
    <n v="1150"/>
    <x v="0"/>
    <n v="19.27"/>
  </r>
  <r>
    <x v="4"/>
    <x v="0"/>
    <n v="38001013001"/>
    <x v="1"/>
    <s v="Evento - 5725 - Vale Transporte47150 - Jurídico Corporativo"/>
    <n v="1159"/>
    <x v="0"/>
    <n v="47"/>
    <n v="1150"/>
    <x v="0"/>
    <n v="-425.1"/>
  </r>
  <r>
    <x v="4"/>
    <x v="0"/>
    <n v="38001013002"/>
    <x v="0"/>
    <s v="Evento - 5725 - Vale Transporte47150 - Jurídico Corporativo"/>
    <n v="1159"/>
    <x v="0"/>
    <n v="47"/>
    <n v="1150"/>
    <x v="0"/>
    <n v="425.1"/>
  </r>
  <r>
    <x v="4"/>
    <x v="0"/>
    <n v="38001013001"/>
    <x v="1"/>
    <s v="Evento - 5530 - Contribuição Assistencial47150 - Jurídico Corporativo"/>
    <n v="1159"/>
    <x v="0"/>
    <n v="47"/>
    <n v="1150"/>
    <x v="0"/>
    <n v="-194.72"/>
  </r>
  <r>
    <x v="4"/>
    <x v="0"/>
    <n v="38001013002"/>
    <x v="0"/>
    <s v="Evento - 5530 - Contribuição Assistencial47150 - Jurídico Corporativo"/>
    <n v="1159"/>
    <x v="0"/>
    <n v="47"/>
    <n v="1150"/>
    <x v="0"/>
    <n v="194.72"/>
  </r>
  <r>
    <x v="4"/>
    <x v="0"/>
    <n v="38001013001"/>
    <x v="1"/>
    <s v="Evento - 5530 - Contribuição Assistencial47159 - Diretoria Jurídica"/>
    <n v="1159"/>
    <x v="0"/>
    <n v="47"/>
    <n v="1159"/>
    <x v="1"/>
    <n v="-48.68"/>
  </r>
  <r>
    <x v="4"/>
    <x v="0"/>
    <n v="38001013002"/>
    <x v="0"/>
    <s v="Evento - 5530 - Contribuição Assistencial47159 - Diretoria Jurídica"/>
    <n v="1159"/>
    <x v="0"/>
    <n v="47"/>
    <n v="1159"/>
    <x v="1"/>
    <n v="48.68"/>
  </r>
  <r>
    <x v="4"/>
    <x v="0"/>
    <n v="38001013001"/>
    <x v="1"/>
    <s v="Evento - 5530 - Contribuição Assistencial47160 - Jurídico Imobiliário"/>
    <n v="1159"/>
    <x v="0"/>
    <n v="47"/>
    <n v="1160"/>
    <x v="2"/>
    <n v="-48.68"/>
  </r>
  <r>
    <x v="4"/>
    <x v="0"/>
    <n v="38001013002"/>
    <x v="0"/>
    <s v="Evento - 5530 - Contribuição Assistencial47160 - Jurídico Imobiliário"/>
    <n v="1159"/>
    <x v="0"/>
    <n v="47"/>
    <n v="1160"/>
    <x v="2"/>
    <n v="48.68"/>
  </r>
  <r>
    <x v="4"/>
    <x v="0"/>
    <n v="38001013001"/>
    <x v="1"/>
    <s v="Evento - 8030 - Assistência Médica47150 - Jurídico Corporativo"/>
    <n v="1159"/>
    <x v="0"/>
    <n v="47"/>
    <n v="1150"/>
    <x v="0"/>
    <n v="-647.4"/>
  </r>
  <r>
    <x v="4"/>
    <x v="0"/>
    <n v="38001013002"/>
    <x v="0"/>
    <s v="Evento - 8030 - Assistência Médica47150 - Jurídico Corporativo"/>
    <n v="1159"/>
    <x v="0"/>
    <n v="47"/>
    <n v="1150"/>
    <x v="0"/>
    <n v="647.4"/>
  </r>
  <r>
    <x v="4"/>
    <x v="0"/>
    <n v="38001013001"/>
    <x v="1"/>
    <s v="Evento - 8030 - Assistência Médica47159 - Diretoria Jurídica"/>
    <n v="1159"/>
    <x v="0"/>
    <n v="47"/>
    <n v="1159"/>
    <x v="1"/>
    <n v="-647.4"/>
  </r>
  <r>
    <x v="4"/>
    <x v="0"/>
    <n v="38001013002"/>
    <x v="0"/>
    <s v="Evento - 8030 - Assistência Médica47159 - Diretoria Jurídica"/>
    <n v="1159"/>
    <x v="0"/>
    <n v="47"/>
    <n v="1159"/>
    <x v="1"/>
    <n v="647.4"/>
  </r>
  <r>
    <x v="4"/>
    <x v="0"/>
    <n v="38001013001"/>
    <x v="1"/>
    <s v="Evento - 8030 - Assistência Médica47160 - Jurídico Imobiliário"/>
    <n v="1159"/>
    <x v="0"/>
    <n v="47"/>
    <n v="1160"/>
    <x v="2"/>
    <n v="-431.6"/>
  </r>
  <r>
    <x v="4"/>
    <x v="0"/>
    <n v="38001013001"/>
    <x v="1"/>
    <s v="Evento - 8086 - Assistência Médica Dependente47160 - Jurídico Imobiliário"/>
    <n v="1159"/>
    <x v="0"/>
    <n v="47"/>
    <n v="1160"/>
    <x v="2"/>
    <n v="-655.16"/>
  </r>
  <r>
    <x v="4"/>
    <x v="0"/>
    <n v="38001013002"/>
    <x v="0"/>
    <s v="Evento - 8030 - Assistência Médica47160 - Jurídico Imobiliário"/>
    <n v="1159"/>
    <x v="0"/>
    <n v="47"/>
    <n v="1160"/>
    <x v="2"/>
    <n v="431.6"/>
  </r>
  <r>
    <x v="4"/>
    <x v="0"/>
    <n v="38001013002"/>
    <x v="0"/>
    <s v="Evento - 8086 - Assistência Médica Dependente47160 - Jurídico Imobiliário"/>
    <n v="1159"/>
    <x v="0"/>
    <n v="47"/>
    <n v="1160"/>
    <x v="2"/>
    <n v="655.16"/>
  </r>
  <r>
    <x v="4"/>
    <x v="0"/>
    <n v="38001013001"/>
    <x v="1"/>
    <s v="Evento - 8040 - Vale Refeição47150 - Jurídico Corporativo"/>
    <n v="1159"/>
    <x v="0"/>
    <n v="47"/>
    <n v="1150"/>
    <x v="0"/>
    <n v="-400"/>
  </r>
  <r>
    <x v="4"/>
    <x v="0"/>
    <n v="38001013002"/>
    <x v="0"/>
    <s v="Evento - 8040 - Vale Refeição47150 - Jurídico Corporativo"/>
    <n v="1159"/>
    <x v="0"/>
    <n v="47"/>
    <n v="1150"/>
    <x v="0"/>
    <n v="400"/>
  </r>
  <r>
    <x v="4"/>
    <x v="0"/>
    <n v="38001013002"/>
    <x v="0"/>
    <s v="Evento - B410 - FGTS Salário47150 - Jurídico Corporativo"/>
    <n v="1159"/>
    <x v="0"/>
    <n v="47"/>
    <n v="1150"/>
    <x v="0"/>
    <n v="5311.61"/>
  </r>
  <r>
    <x v="4"/>
    <x v="0"/>
    <n v="38001013002"/>
    <x v="0"/>
    <s v="Evento - B410 - FGTS Salário47159 - Diretoria Jurídica"/>
    <n v="1159"/>
    <x v="0"/>
    <n v="47"/>
    <n v="1159"/>
    <x v="1"/>
    <n v="5605.95"/>
  </r>
  <r>
    <x v="4"/>
    <x v="0"/>
    <n v="38001013002"/>
    <x v="0"/>
    <s v="Evento - B410 - FGTS Salário47160 - Jurídico Imobiliário"/>
    <n v="1159"/>
    <x v="0"/>
    <n v="47"/>
    <n v="1160"/>
    <x v="2"/>
    <n v="5185.96"/>
  </r>
  <r>
    <x v="4"/>
    <x v="4"/>
    <n v="38001019004"/>
    <x v="6"/>
    <s v="Item Despesa, NF: REEMB#000146279744 , Fornecedor: Victor Vasconcelos Miranda , Desc NF:  , Método Pgmto: BR_EFT"/>
    <n v="1159"/>
    <x v="0"/>
    <n v="47"/>
    <n v="1159"/>
    <x v="1"/>
    <n v="723.12"/>
  </r>
  <r>
    <x v="4"/>
    <x v="9"/>
    <n v="38001001004"/>
    <x v="24"/>
    <s v="Item Despesa, NF: 653969 , Fornecedor: SERASA S.A. - 62173620009306 , Desc NF:  Ticket #321152 , Método Pgmto: BR_BOLETO"/>
    <n v="1159"/>
    <x v="0"/>
    <n v="47"/>
    <n v="1150"/>
    <x v="0"/>
    <n v="1010.19"/>
  </r>
  <r>
    <x v="4"/>
    <x v="9"/>
    <n v="38001001004"/>
    <x v="24"/>
    <s v="Item Despesa, NF: 655953 , Fornecedor: SERASA S.A. - 62173620009306 , Desc NF: Ticket #321153 , Método Pgmto: BR_BOLETO"/>
    <n v="1159"/>
    <x v="0"/>
    <n v="47"/>
    <n v="1150"/>
    <x v="0"/>
    <n v="2346.9899999999998"/>
  </r>
  <r>
    <x v="4"/>
    <x v="9"/>
    <n v="38001001004"/>
    <x v="24"/>
    <s v="Item Despesa, NF: 653969 , Fornecedor: SERASA S.A. - 62173620009306 , Desc NF:  Ticket #321152 , Método Pgmto: BR_BOLETO"/>
    <n v="1159"/>
    <x v="0"/>
    <n v="47"/>
    <n v="1160"/>
    <x v="2"/>
    <n v="5764.92"/>
  </r>
  <r>
    <x v="4"/>
    <x v="4"/>
    <n v="38001019004"/>
    <x v="6"/>
    <s v="Item Despesa, NF: REEMB#000147017465 , Fornecedor: Cesar Matos Silva , Desc NF: reembolso - pedágio , Método Pgmto: BR_EFT"/>
    <n v="1159"/>
    <x v="0"/>
    <n v="47"/>
    <n v="1150"/>
    <x v="0"/>
    <n v="78.8"/>
  </r>
  <r>
    <x v="4"/>
    <x v="4"/>
    <n v="38001019004"/>
    <x v="6"/>
    <s v="Item Despesa, NF: REEMB#000147017452 , Fornecedor: Cesar Matos Silva , Desc NF: reembolso , Método Pgmto: BR_EFT"/>
    <n v="1159"/>
    <x v="0"/>
    <n v="47"/>
    <n v="1150"/>
    <x v="0"/>
    <n v="251.2"/>
  </r>
  <r>
    <x v="4"/>
    <x v="8"/>
    <n v="38001025001"/>
    <x v="22"/>
    <s v="Evento - T200 - Provisão de 13o. Salário - Mês"/>
    <n v="1159"/>
    <x v="0"/>
    <n v="47"/>
    <n v="1150"/>
    <x v="0"/>
    <n v="5532.96"/>
  </r>
  <r>
    <x v="4"/>
    <x v="8"/>
    <n v="38001025001"/>
    <x v="22"/>
    <s v="Evento - T200 - Provisão de 13o. Salário - Mês"/>
    <n v="1159"/>
    <x v="0"/>
    <n v="47"/>
    <n v="1159"/>
    <x v="1"/>
    <n v="5414.28"/>
  </r>
  <r>
    <x v="4"/>
    <x v="8"/>
    <n v="38001025001"/>
    <x v="22"/>
    <s v="Evento - T200 - Provisão de 13o. Salário - Mês"/>
    <n v="1159"/>
    <x v="0"/>
    <n v="47"/>
    <n v="1160"/>
    <x v="2"/>
    <n v="5045.5600000000004"/>
  </r>
  <r>
    <x v="4"/>
    <x v="7"/>
    <n v="38001023004"/>
    <x v="18"/>
    <s v="Evento - T120 - Provisão de FGTS de Férias - Mês"/>
    <n v="1159"/>
    <x v="0"/>
    <n v="47"/>
    <n v="1150"/>
    <x v="0"/>
    <n v="613.19000000000005"/>
  </r>
  <r>
    <x v="4"/>
    <x v="7"/>
    <n v="38001023004"/>
    <x v="18"/>
    <s v="Evento - T120 - Provisão de FGTS de Férias - Mês"/>
    <n v="1159"/>
    <x v="0"/>
    <n v="47"/>
    <n v="1159"/>
    <x v="1"/>
    <n v="577.52"/>
  </r>
  <r>
    <x v="4"/>
    <x v="7"/>
    <n v="38001023004"/>
    <x v="18"/>
    <s v="Evento - T120 - Provisão de FGTS de Férias - Mês"/>
    <n v="1159"/>
    <x v="0"/>
    <n v="47"/>
    <n v="1160"/>
    <x v="2"/>
    <n v="538.21"/>
  </r>
  <r>
    <x v="4"/>
    <x v="0"/>
    <n v="38001013002"/>
    <x v="0"/>
    <s v="Evento - B410 - FGTS Salário47150 - Jurídico Corporativo"/>
    <n v="1159"/>
    <x v="0"/>
    <n v="47"/>
    <n v="1150"/>
    <x v="0"/>
    <n v="-5311.61"/>
  </r>
  <r>
    <x v="4"/>
    <x v="0"/>
    <n v="38001013002"/>
    <x v="0"/>
    <s v="Item Despesa, NF: 1260519390398918 , Fornecedor: CAIXA ECONOMICA FEDERAL , Desc NF:  , Método Pgmto: BR_TAX_BARCODE"/>
    <n v="1159"/>
    <x v="0"/>
    <n v="47"/>
    <n v="1150"/>
    <x v="0"/>
    <n v="-22676.14"/>
  </r>
  <r>
    <x v="4"/>
    <x v="0"/>
    <n v="38001013004"/>
    <x v="21"/>
    <s v="Evento - B410 - FGTS Salário47150 - Jurídico Corporativo"/>
    <n v="1159"/>
    <x v="0"/>
    <n v="47"/>
    <n v="1150"/>
    <x v="0"/>
    <n v="5311.61"/>
  </r>
  <r>
    <x v="4"/>
    <x v="0"/>
    <n v="38001013004"/>
    <x v="21"/>
    <s v="Item Despesa, NF: 1260519390398918 , Fornecedor: CAIXA ECONOMICA FEDERAL , Desc NF:  , Método Pgmto: BR_TAX_BARCODE"/>
    <n v="1159"/>
    <x v="0"/>
    <n v="47"/>
    <n v="1150"/>
    <x v="0"/>
    <n v="22676.14"/>
  </r>
  <r>
    <x v="4"/>
    <x v="0"/>
    <n v="38001013002"/>
    <x v="0"/>
    <s v="Evento - B410 - FGTS Salário47159 - Diretoria Jurídica"/>
    <n v="1159"/>
    <x v="0"/>
    <n v="47"/>
    <n v="1159"/>
    <x v="1"/>
    <n v="-5605.95"/>
  </r>
  <r>
    <x v="4"/>
    <x v="0"/>
    <n v="38001013004"/>
    <x v="21"/>
    <s v="Evento - B410 - FGTS Salário47159 - Diretoria Jurídica"/>
    <n v="1159"/>
    <x v="0"/>
    <n v="47"/>
    <n v="1159"/>
    <x v="1"/>
    <n v="5605.95"/>
  </r>
  <r>
    <x v="4"/>
    <x v="0"/>
    <n v="38001013002"/>
    <x v="0"/>
    <s v="Evento - B410 - FGTS Salário47160 - Jurídico Imobiliário"/>
    <n v="1159"/>
    <x v="0"/>
    <n v="47"/>
    <n v="1160"/>
    <x v="2"/>
    <n v="-5185.96"/>
  </r>
  <r>
    <x v="4"/>
    <x v="0"/>
    <n v="38001013004"/>
    <x v="21"/>
    <s v="Evento - B410 - FGTS Salário47160 - Jurídico Imobiliário"/>
    <n v="1159"/>
    <x v="0"/>
    <n v="47"/>
    <n v="1160"/>
    <x v="2"/>
    <n v="5185.96"/>
  </r>
  <r>
    <x v="4"/>
    <x v="0"/>
    <n v="38001013001"/>
    <x v="1"/>
    <s v="Evento - 0305 - Aviso Prévio Indenizado(s/inss)47150 - Jurídico Corporativo"/>
    <n v="1159"/>
    <x v="0"/>
    <n v="47"/>
    <n v="1150"/>
    <x v="0"/>
    <n v="14296.14"/>
  </r>
  <r>
    <x v="4"/>
    <x v="0"/>
    <n v="38001013002"/>
    <x v="0"/>
    <s v="Evento - 0305 - Aviso Prévio Indenizado(s/inss)47150 - Jurídico Corporativo"/>
    <n v="1159"/>
    <x v="0"/>
    <n v="47"/>
    <n v="1150"/>
    <x v="0"/>
    <n v="-14296.14"/>
  </r>
  <r>
    <x v="4"/>
    <x v="1"/>
    <n v="38001027008"/>
    <x v="15"/>
    <s v="Item Despesa, NF: 97295419 , Fornecedor: VR BENEFICIOS E SERVICOS DE PROCESSAMENTO S.A - 02535864000133 , Desc NF: Ticket #326894 - DEBITO AUTOMATICO , Método Pgmto: BR_BOLETO"/>
    <n v="1159"/>
    <x v="0"/>
    <n v="47"/>
    <n v="1150"/>
    <x v="0"/>
    <n v="1575"/>
  </r>
  <r>
    <x v="4"/>
    <x v="1"/>
    <n v="38001027008"/>
    <x v="15"/>
    <s v="Item Despesa, NF: 97295419 , Fornecedor: VR BENEFICIOS E SERVICOS DE PROCESSAMENTO S.A - 02535864000133 , Desc NF: Ticket #326894 - DEBITO AUTOMATICO , Método Pgmto: BR_BOLETO"/>
    <n v="1159"/>
    <x v="0"/>
    <n v="47"/>
    <n v="1160"/>
    <x v="2"/>
    <n v="975"/>
  </r>
  <r>
    <x v="4"/>
    <x v="0"/>
    <n v="38001013002"/>
    <x v="0"/>
    <s v="Evento - B074 - GPS Salário Acidente de Trabalho47150 - Jurídico Corporativo"/>
    <n v="1159"/>
    <x v="0"/>
    <n v="47"/>
    <n v="1150"/>
    <x v="0"/>
    <n v="2089.19"/>
  </r>
  <r>
    <x v="4"/>
    <x v="0"/>
    <n v="38001013002"/>
    <x v="0"/>
    <s v="Evento - B076 - GPS Salário Terceiros 5.8047150 - Jurídico Corporativo"/>
    <n v="1159"/>
    <x v="0"/>
    <n v="47"/>
    <n v="1150"/>
    <x v="0"/>
    <n v="4403.74"/>
  </r>
  <r>
    <x v="4"/>
    <x v="0"/>
    <n v="38001013002"/>
    <x v="0"/>
    <s v="Evento - B072 - GPS Salário Empresa 20,00%47150 - Jurídico Corporativo"/>
    <n v="1159"/>
    <x v="0"/>
    <n v="47"/>
    <n v="1150"/>
    <x v="0"/>
    <n v="13279.15"/>
  </r>
  <r>
    <x v="4"/>
    <x v="0"/>
    <n v="38001013002"/>
    <x v="0"/>
    <s v="Evento - B141 - Valor GPS Desonerada47150 - Jurídico Corporativo"/>
    <n v="1159"/>
    <x v="0"/>
    <n v="47"/>
    <n v="1150"/>
    <x v="0"/>
    <n v="-6639.57"/>
  </r>
  <r>
    <x v="4"/>
    <x v="3"/>
    <n v="38001011003"/>
    <x v="14"/>
    <s v="Item Despesa, NF: 380 , Fornecedor: RDM TECHNOLOGY LTDA - 44455778000160 , Desc NF: Ticket #324013 , Método Pgmto: BR_EFT"/>
    <n v="1159"/>
    <x v="0"/>
    <n v="47"/>
    <n v="1150"/>
    <x v="0"/>
    <n v="17225"/>
  </r>
  <r>
    <x v="4"/>
    <x v="3"/>
    <n v="38001011004"/>
    <x v="5"/>
    <s v="Item Despesa, NF: 2602500989 , Fornecedor: JUNTA COMERCIAL DO PARANA - 77968170000199 , Desc NF: Ticket #326666 , Método Pgmto: BR_BOLETO"/>
    <n v="1159"/>
    <x v="0"/>
    <n v="47"/>
    <n v="1150"/>
    <x v="0"/>
    <n v="40.35"/>
  </r>
  <r>
    <x v="4"/>
    <x v="3"/>
    <n v="38001011002"/>
    <x v="4"/>
    <s v="Item Despesa, NF: 042026IRRF , Fornecedor: SECRETARIA DA RECEITA FEDERAL DO BRASIL , Desc NF:  , Método Pgmto: BR_TAX_BARCODE"/>
    <n v="1159"/>
    <x v="0"/>
    <n v="47"/>
    <n v="1150"/>
    <x v="0"/>
    <n v="-861.84"/>
  </r>
  <r>
    <x v="4"/>
    <x v="3"/>
    <n v="38001011003"/>
    <x v="14"/>
    <s v="Item Despesa, NF: 042026IRRF , Fornecedor: SECRETARIA DA RECEITA FEDERAL DO BRASIL , Desc NF:  , Método Pgmto: BR_TAX_BARCODE"/>
    <n v="1159"/>
    <x v="0"/>
    <n v="47"/>
    <n v="1150"/>
    <x v="0"/>
    <n v="-16.899999999999999"/>
  </r>
  <r>
    <x v="4"/>
    <x v="3"/>
    <n v="38001011003"/>
    <x v="14"/>
    <s v="Item Despesa, NF: 042026IRRF , Fornecedor: SECRETARIA DA RECEITA FEDERAL DO BRASIL , Desc NF:  , Método Pgmto: BR_TAX_BARCODE"/>
    <n v="1159"/>
    <x v="0"/>
    <n v="47"/>
    <n v="1160"/>
    <x v="2"/>
    <n v="-1500"/>
  </r>
  <r>
    <x v="4"/>
    <x v="9"/>
    <n v="38001001004"/>
    <x v="24"/>
    <s v="Item Despesa, NF: 042026IRRF , Fornecedor: SECRETARIA DA RECEITA FEDERAL DO BRASIL , Desc NF:  , Método Pgmto: BR_TAX_BARCODE"/>
    <n v="1159"/>
    <x v="0"/>
    <n v="47"/>
    <n v="1150"/>
    <x v="0"/>
    <n v="-88.44"/>
  </r>
  <r>
    <x v="4"/>
    <x v="3"/>
    <n v="38001011004"/>
    <x v="5"/>
    <s v="Item Despesa, NF: 260590112288344 , Fornecedor: SECRETARIA DA FAZENDA E PLANEJAMENTO - 46377222000129 , Desc NF:  Ticket #326665 , Método Pgmto: BR_BOLETO"/>
    <n v="1159"/>
    <x v="0"/>
    <n v="47"/>
    <n v="1150"/>
    <x v="0"/>
    <n v="583.98"/>
  </r>
  <r>
    <x v="4"/>
    <x v="11"/>
    <n v="38001003004"/>
    <x v="32"/>
    <s v="Item Despesa, NF: 55747 , Fornecedor: PWD SAUDE E SEGURANCA OCUPACIONAL LTDA - 20998877000120 , Desc NF: Ticket #322818 , Método Pgmto: BR_BOLETO"/>
    <n v="1159"/>
    <x v="0"/>
    <n v="47"/>
    <n v="1150"/>
    <x v="0"/>
    <n v="134"/>
  </r>
  <r>
    <x v="4"/>
    <x v="3"/>
    <n v="38001011004"/>
    <x v="5"/>
    <s v="Item Despesa, NF: 260590113797286 , Fornecedor: SECRETARIA DA FAZENDA E PLANEJAMENTO - 46377222000129 , Desc NF: Ticket #326755 , Método Pgmto: BR_BOLETO"/>
    <n v="1159"/>
    <x v="0"/>
    <n v="47"/>
    <n v="1150"/>
    <x v="0"/>
    <n v="164.05"/>
  </r>
  <r>
    <x v="4"/>
    <x v="0"/>
    <n v="38001013002"/>
    <x v="0"/>
    <s v="Evento - B074 - GPS Salário Acidente de Trabalho47159 - Diretoria Jurídica"/>
    <n v="1159"/>
    <x v="0"/>
    <n v="47"/>
    <n v="1159"/>
    <x v="1"/>
    <n v="1928.17"/>
  </r>
  <r>
    <x v="4"/>
    <x v="0"/>
    <n v="38001013002"/>
    <x v="0"/>
    <s v="Evento - B076 - GPS Salário Terceiros 5.8047159 - Diretoria Jurídica"/>
    <n v="1159"/>
    <x v="0"/>
    <n v="47"/>
    <n v="1159"/>
    <x v="1"/>
    <n v="4064.33"/>
  </r>
  <r>
    <x v="4"/>
    <x v="0"/>
    <n v="38001013002"/>
    <x v="0"/>
    <s v="Evento - B072 - GPS Salário Empresa 20,00%47159 - Diretoria Jurídica"/>
    <n v="1159"/>
    <x v="0"/>
    <n v="47"/>
    <n v="1159"/>
    <x v="1"/>
    <n v="9932.43"/>
  </r>
  <r>
    <x v="4"/>
    <x v="0"/>
    <n v="38001013002"/>
    <x v="0"/>
    <s v="Evento - B141 - Valor GPS Desonerada47159 - Diretoria Jurídica"/>
    <n v="1159"/>
    <x v="0"/>
    <n v="47"/>
    <n v="1159"/>
    <x v="1"/>
    <n v="-4966.22"/>
  </r>
  <r>
    <x v="4"/>
    <x v="0"/>
    <n v="38001013002"/>
    <x v="0"/>
    <s v="Evento - B074 - GPS Salário Acidente de Trabalho47160 - Jurídico Imobiliário"/>
    <n v="1159"/>
    <x v="0"/>
    <n v="47"/>
    <n v="1160"/>
    <x v="2"/>
    <n v="1783.72"/>
  </r>
  <r>
    <x v="4"/>
    <x v="0"/>
    <n v="38001013002"/>
    <x v="0"/>
    <s v="Evento - B076 - GPS Salário Terceiros 5.8047160 - Jurídico Imobiliário"/>
    <n v="1159"/>
    <x v="0"/>
    <n v="47"/>
    <n v="1160"/>
    <x v="2"/>
    <n v="3759.84"/>
  </r>
  <r>
    <x v="4"/>
    <x v="0"/>
    <n v="38001013002"/>
    <x v="0"/>
    <s v="Evento - B072 - GPS Salário Empresa 20,00%47160 - Jurídico Imobiliário"/>
    <n v="1159"/>
    <x v="0"/>
    <n v="47"/>
    <n v="1160"/>
    <x v="2"/>
    <n v="9542.65"/>
  </r>
  <r>
    <x v="4"/>
    <x v="0"/>
    <n v="38001013002"/>
    <x v="0"/>
    <s v="Evento - B141 - Valor GPS Desonerada47160 - Jurídico Imobiliário"/>
    <n v="1159"/>
    <x v="0"/>
    <n v="47"/>
    <n v="1160"/>
    <x v="2"/>
    <n v="-4771.33"/>
  </r>
  <r>
    <x v="4"/>
    <x v="6"/>
    <n v="38001008004"/>
    <x v="9"/>
    <s v="Frete, NF: 49508-1-20260511-15341234000170 , Fornecedor: PAO E TALHO SANDUICHERIA LTDA - 15341234000170 , Desc NF:  Ticket #325918"/>
    <n v="1159"/>
    <x v="0"/>
    <n v="47"/>
    <n v="1159"/>
    <x v="1"/>
    <n v="108.49"/>
  </r>
  <r>
    <x v="4"/>
    <x v="6"/>
    <n v="38001008004"/>
    <x v="9"/>
    <s v="Imposto a recuperar, NF: 49508-1-20260511-15341234000170 , Fornecedor: PAO E TALHO SANDUICHERIA LTDA - 15341234000170 , Desc NF:  Ticket #325918"/>
    <n v="1159"/>
    <x v="0"/>
    <n v="47"/>
    <n v="1159"/>
    <x v="1"/>
    <n v="259.56"/>
  </r>
  <r>
    <x v="4"/>
    <x v="6"/>
    <n v="38001008004"/>
    <x v="9"/>
    <s v="Item Despesa, NF: 49508-1-20260511-15341234000170 , Fornecedor: PAO E TALHO SANDUICHERIA LTDA - 15341234000170 , Desc NF:  Ticket #325918 , Método Pgmto: BR_BOLETO"/>
    <n v="1159"/>
    <x v="0"/>
    <n v="47"/>
    <n v="1159"/>
    <x v="1"/>
    <n v="3478.84"/>
  </r>
  <r>
    <x v="4"/>
    <x v="3"/>
    <n v="38001011002"/>
    <x v="4"/>
    <s v="Item Despesa, NF: 4493 , Fornecedor: REIS, SOUZA, TAKEISHI &amp; ARSUFFI SOCIEDADE DE ADVOGADOS - 09639999000198 , Desc NF: Ticket #323551 , Método Pgmto: BR_EFT"/>
    <n v="1159"/>
    <x v="0"/>
    <n v="47"/>
    <n v="1150"/>
    <x v="0"/>
    <n v="57456"/>
  </r>
  <r>
    <x v="4"/>
    <x v="0"/>
    <n v="38001013002"/>
    <x v="0"/>
    <s v="Evento - 1510 - Insuficiência de Saldo /47150 - Jurídico Corporativo"/>
    <n v="1159"/>
    <x v="0"/>
    <n v="47"/>
    <n v="1150"/>
    <x v="0"/>
    <n v="0.67"/>
  </r>
  <r>
    <x v="4"/>
    <x v="0"/>
    <n v="38001013002"/>
    <x v="0"/>
    <s v="Evento - 0001 - Salário47150 - Jurídico Corporativo"/>
    <n v="1159"/>
    <x v="0"/>
    <n v="47"/>
    <n v="1150"/>
    <x v="0"/>
    <n v="71161.119999999995"/>
  </r>
  <r>
    <x v="4"/>
    <x v="0"/>
    <n v="38001013002"/>
    <x v="0"/>
    <s v="Evento - 1510 - Insuficiência de Saldo47150 - Jurídico Corporativo"/>
    <n v="1159"/>
    <x v="0"/>
    <n v="47"/>
    <n v="1150"/>
    <x v="0"/>
    <n v="-0.67"/>
  </r>
  <r>
    <x v="4"/>
    <x v="0"/>
    <n v="38001013002"/>
    <x v="0"/>
    <s v="Evento - 0001 - Salário47159 - Diretoria Jurídica"/>
    <n v="1159"/>
    <x v="0"/>
    <n v="47"/>
    <n v="1159"/>
    <x v="1"/>
    <n v="49662.17"/>
  </r>
  <r>
    <x v="4"/>
    <x v="0"/>
    <n v="38001013002"/>
    <x v="0"/>
    <s v="Evento - 0001 - Salário47160 - Jurídico Imobiliário"/>
    <n v="1159"/>
    <x v="0"/>
    <n v="47"/>
    <n v="1160"/>
    <x v="2"/>
    <n v="47713.25"/>
  </r>
  <r>
    <x v="4"/>
    <x v="0"/>
    <n v="38001013002"/>
    <x v="0"/>
    <s v="Evento - 8110 - Outros Descontos47160 - Jurídico Imobiliário"/>
    <n v="1159"/>
    <x v="0"/>
    <n v="47"/>
    <n v="1160"/>
    <x v="2"/>
    <n v="-9"/>
  </r>
  <r>
    <x v="4"/>
    <x v="0"/>
    <n v="38001013002"/>
    <x v="0"/>
    <s v="Evento - 1510 - Insuficiência de Saldo47160 - Jurídico Imobiliário"/>
    <n v="1159"/>
    <x v="0"/>
    <n v="47"/>
    <n v="1160"/>
    <x v="2"/>
    <n v="-206.02"/>
  </r>
  <r>
    <x v="4"/>
    <x v="3"/>
    <n v="38001011004"/>
    <x v="5"/>
    <s v="Item Despesa, NF: 260590109518983 , Fornecedor: SECRETARIA DA FAZENDA E PLANEJAMENTO - 46377222000129 , Desc NF: Ticket #326155 , Método Pgmto: BR_BOLETO"/>
    <n v="1159"/>
    <x v="0"/>
    <n v="47"/>
    <n v="1150"/>
    <x v="0"/>
    <n v="164.05"/>
  </r>
  <r>
    <x v="4"/>
    <x v="0"/>
    <n v="38001013001"/>
    <x v="1"/>
    <s v="Item Despesa, NF: 28152990105099724 , Fornecedor: SERVICO NACIONAL DE APRENDIZAGEM INDUSTRIAL SENAI - 33564543000190 , Desc NF:  , Método Pgmto: BR_BOLETO"/>
    <n v="1159"/>
    <x v="0"/>
    <n v="47"/>
    <n v="1150"/>
    <x v="0"/>
    <n v="145.19"/>
  </r>
  <r>
    <x v="4"/>
    <x v="0"/>
    <n v="38001013001"/>
    <x v="1"/>
    <s v="Item Despesa, NF: 28152990105099724 , Fornecedor: SERVICO NACIONAL DE APRENDIZAGEM INDUSTRIAL SENAI - 33564543000190 , Desc NF:  , Método Pgmto: BR_BOLETO"/>
    <n v="1159"/>
    <x v="0"/>
    <n v="47"/>
    <n v="1159"/>
    <x v="1"/>
    <n v="135.24"/>
  </r>
  <r>
    <x v="4"/>
    <x v="0"/>
    <n v="38001013001"/>
    <x v="1"/>
    <s v="Item Despesa, NF: 28152990105099724 , Fornecedor: SERVICO NACIONAL DE APRENDIZAGEM INDUSTRIAL SENAI - 33564543000190 , Desc NF:  , Método Pgmto: BR_BOLETO"/>
    <n v="1159"/>
    <x v="0"/>
    <n v="47"/>
    <n v="1160"/>
    <x v="2"/>
    <n v="123.08"/>
  </r>
  <r>
    <x v="4"/>
    <x v="3"/>
    <n v="38001011004"/>
    <x v="5"/>
    <s v="Item Despesa, NF: 325098CANCELADO , Fornecedor: VICTOR VASCONCELOS MIRANDA - 07203917410 , Desc NF: ticket 325098 , Método Pgmto: BR_EFT"/>
    <n v="1159"/>
    <x v="0"/>
    <n v="47"/>
    <n v="1159"/>
    <x v="1"/>
    <n v="2108.04"/>
  </r>
  <r>
    <x v="4"/>
    <x v="3"/>
    <n v="38001011004"/>
    <x v="5"/>
    <s v="Item Despesa, NF: 325098CANCELADO , Fornecedor: VICTOR VASCONCELOS MIRANDA - 07203917410 , Desc NF: ticket 325098 , Método Pgmto: BR_EFT"/>
    <n v="1159"/>
    <x v="0"/>
    <n v="47"/>
    <n v="1159"/>
    <x v="1"/>
    <n v="-2108.04"/>
  </r>
  <r>
    <x v="4"/>
    <x v="3"/>
    <n v="38001011003"/>
    <x v="14"/>
    <s v="Item Despesa, NF: 380 , Fornecedor: RDM TECHNOLOGY LTDA - 44455778000160 , Desc NF: Ticket #324013 , Método Pgmto: BR_EFT"/>
    <n v="1159"/>
    <x v="0"/>
    <n v="47"/>
    <n v="1150"/>
    <x v="0"/>
    <n v="17225"/>
  </r>
  <r>
    <x v="4"/>
    <x v="3"/>
    <n v="38001011003"/>
    <x v="14"/>
    <s v="Item Despesa, NF: 380 , Fornecedor: RDM TECHNOLOGY LTDA - 44455778000160 , Desc NF: Ticket #324013 , Método Pgmto: BR_EFT"/>
    <n v="1159"/>
    <x v="0"/>
    <n v="47"/>
    <n v="1150"/>
    <x v="0"/>
    <n v="-17225"/>
  </r>
  <r>
    <x v="4"/>
    <x v="3"/>
    <n v="38001011002"/>
    <x v="4"/>
    <s v="Item Despesa, NF: 779 , Fornecedor: RIBEIRO PINTO ADVOGADOS ASSOCIADOS - 04612076000129 , Desc NF: Ticket #326158 , Método Pgmto: BR_EFT"/>
    <n v="1159"/>
    <x v="0"/>
    <n v="47"/>
    <n v="1150"/>
    <x v="0"/>
    <n v="39415.5"/>
  </r>
  <r>
    <x v="4"/>
    <x v="3"/>
    <n v="38001011002"/>
    <x v="4"/>
    <s v="Item Despesa, NF: 778 , Fornecedor: RIBEIRO PINTO ADVOGADOS ASSOCIADOS - 04612076000129 , Desc NF: Ticket #326157 , Método Pgmto: BR_EFT"/>
    <n v="1159"/>
    <x v="0"/>
    <n v="47"/>
    <n v="1150"/>
    <x v="0"/>
    <n v="43926.239999999998"/>
  </r>
  <r>
    <x v="4"/>
    <x v="4"/>
    <n v="38001019004"/>
    <x v="6"/>
    <s v="Item Despesa, NF: REEMB#000142163809 , Fornecedor: Natalia Carvalheiro Malta , Desc NF: Encontro de Engenharia , Método Pgmto: BR_EFT"/>
    <n v="1159"/>
    <x v="0"/>
    <n v="47"/>
    <n v="1150"/>
    <x v="0"/>
    <n v="110.5"/>
  </r>
  <r>
    <x v="4"/>
    <x v="4"/>
    <n v="38001019005"/>
    <x v="10"/>
    <s v="Item Despesa, NF: 194120 , Fornecedor: UBER DO BRASIL TECNOLOGIA LTDA. - 17895646000187 , Desc NF: Ticket #326559 , Método Pgmto: BR_BOLETO"/>
    <n v="1159"/>
    <x v="0"/>
    <n v="47"/>
    <n v="1159"/>
    <x v="1"/>
    <n v="2168.67"/>
  </r>
  <r>
    <x v="4"/>
    <x v="0"/>
    <n v="38001013002"/>
    <x v="0"/>
    <s v="Evento - 0305 - Aviso Prévio Indenizado(s/inss)47150 - Jurídico Corporativo"/>
    <n v="1159"/>
    <x v="0"/>
    <n v="47"/>
    <n v="1150"/>
    <x v="0"/>
    <n v="14296.14"/>
  </r>
  <r>
    <x v="4"/>
    <x v="3"/>
    <n v="38001011003"/>
    <x v="14"/>
    <s v="Item Despesa, NF: 321630 , Fornecedor: ALMEIDA, ROTENBERG E BOSCOLI - SOCIEDADE DE ADVOGADOS - 61074555000172 , Desc NF: Ticket #324545 , Método Pgmto: BR_BOLETO"/>
    <n v="1159"/>
    <x v="0"/>
    <n v="47"/>
    <n v="1150"/>
    <x v="0"/>
    <n v="28595.05"/>
  </r>
  <r>
    <x v="4"/>
    <x v="3"/>
    <n v="38001011003"/>
    <x v="14"/>
    <s v="Item Despesa, NF: 321632 , Fornecedor: ALMEIDA, ROTENBERG E BOSCOLI - SOCIEDADE DE ADVOGADOS - 61074555000172 , Desc NF: Ticket #324548 , Método Pgmto: BR_BOLETO"/>
    <n v="1159"/>
    <x v="0"/>
    <n v="47"/>
    <n v="1150"/>
    <x v="0"/>
    <n v="33057.89"/>
  </r>
  <r>
    <x v="4"/>
    <x v="3"/>
    <n v="38001011003"/>
    <x v="14"/>
    <s v="Item Despesa, NF: 321631 , Fornecedor: ALMEIDA, ROTENBERG E BOSCOLI - SOCIEDADE DE ADVOGADOS - 61074555000172 , Desc NF: Ticket #324546 , Método Pgmto: BR_BOLETO"/>
    <n v="1159"/>
    <x v="0"/>
    <n v="47"/>
    <n v="1150"/>
    <x v="0"/>
    <n v="63997.79"/>
  </r>
  <r>
    <x v="4"/>
    <x v="3"/>
    <n v="38001011003"/>
    <x v="14"/>
    <s v="Item Despesa, NF: 321628 , Fornecedor: ALMEIDA, ROTENBERG E BOSCOLI - SOCIEDADE DE ADVOGADOS - 61074555000172 , Desc NF: Ticket #324544 , Método Pgmto: BR_BOLETO"/>
    <n v="1159"/>
    <x v="0"/>
    <n v="47"/>
    <n v="1150"/>
    <x v="0"/>
    <n v="1247.3800000000001"/>
  </r>
  <r>
    <x v="4"/>
    <x v="3"/>
    <n v="38001011003"/>
    <x v="14"/>
    <s v="Item Despesa, NF: 321627 , Fornecedor: ALMEIDA, ROTENBERG E BOSCOLI - SOCIEDADE DE ADVOGADOS - 61074555000172 , Desc NF: Ticket #324539 , Método Pgmto: BR_BOLETO"/>
    <n v="1159"/>
    <x v="0"/>
    <n v="47"/>
    <n v="1150"/>
    <x v="0"/>
    <n v="2494.77"/>
  </r>
  <r>
    <x v="4"/>
    <x v="3"/>
    <n v="38001011003"/>
    <x v="14"/>
    <s v="Item Despesa, NF: 321629 , Fornecedor: ALMEIDA, ROTENBERG E BOSCOLI - SOCIEDADE DE ADVOGADOS - 61074555000172 , Desc NF: Ticket #324543 , Método Pgmto: BR_BOLETO"/>
    <n v="1159"/>
    <x v="0"/>
    <n v="47"/>
    <n v="1150"/>
    <x v="0"/>
    <n v="3742.15"/>
  </r>
  <r>
    <x v="4"/>
    <x v="5"/>
    <n v="38001002001"/>
    <x v="7"/>
    <s v="Item Despesa, NF: 326400 , Fornecedor: ESTADO DE MATO GROSSO - 03507415000578 , Desc NF: TICKET 326400 , Método Pgmto: BR_BOLETO"/>
    <n v="1159"/>
    <x v="0"/>
    <n v="47"/>
    <n v="1160"/>
    <x v="2"/>
    <n v="34"/>
  </r>
  <r>
    <x v="4"/>
    <x v="6"/>
    <n v="38001008004"/>
    <x v="9"/>
    <s v="Item Despesa, NF: 325098 , Fornecedor: VICTOR VASCONCELOS MIRANDA - 07203917410 , Desc NF: TICKET 325098 , Método Pgmto: BR_EFT"/>
    <n v="1159"/>
    <x v="0"/>
    <n v="47"/>
    <n v="1159"/>
    <x v="1"/>
    <n v="1663.2"/>
  </r>
  <r>
    <x v="4"/>
    <x v="3"/>
    <n v="38001011004"/>
    <x v="5"/>
    <s v="Item Despesa, NF: 325098 , Fornecedor: VICTOR VASCONCELOS MIRANDA - 07203917410 , Desc NF: TICKET 325098 , Método Pgmto: BR_EFT"/>
    <n v="1159"/>
    <x v="0"/>
    <n v="47"/>
    <n v="1159"/>
    <x v="1"/>
    <n v="516.84"/>
  </r>
  <r>
    <x v="4"/>
    <x v="7"/>
    <n v="38001023002"/>
    <x v="16"/>
    <s v="Evento - T115 - Provisão Desoneração Inss Férias-Mês"/>
    <n v="1159"/>
    <x v="0"/>
    <n v="47"/>
    <n v="1150"/>
    <x v="0"/>
    <n v="18195.89"/>
  </r>
  <r>
    <x v="4"/>
    <x v="7"/>
    <n v="38001023002"/>
    <x v="16"/>
    <s v="Evento - T115 - Provisão Desoneração Inss Férias-Mês"/>
    <n v="1159"/>
    <x v="0"/>
    <n v="47"/>
    <n v="1159"/>
    <x v="1"/>
    <n v="7294.27"/>
  </r>
  <r>
    <x v="4"/>
    <x v="7"/>
    <n v="38001023002"/>
    <x v="16"/>
    <s v="Evento - T115 - Provisão Desoneração Inss Férias-Mês"/>
    <n v="1159"/>
    <x v="0"/>
    <n v="47"/>
    <n v="1160"/>
    <x v="2"/>
    <n v="7737.85"/>
  </r>
  <r>
    <x v="4"/>
    <x v="8"/>
    <n v="38001025002"/>
    <x v="17"/>
    <s v="Evento - T215 - Provisão Desoner.INSS 13o Salário-Mês"/>
    <n v="1159"/>
    <x v="0"/>
    <n v="47"/>
    <n v="1150"/>
    <x v="0"/>
    <n v="5048.75"/>
  </r>
  <r>
    <x v="4"/>
    <x v="8"/>
    <n v="38001025002"/>
    <x v="17"/>
    <s v="Evento - T215 - Provisão Desoner.INSS 13o Salário-Mês"/>
    <n v="1159"/>
    <x v="0"/>
    <n v="47"/>
    <n v="1159"/>
    <x v="1"/>
    <n v="5414.3"/>
  </r>
  <r>
    <x v="4"/>
    <x v="8"/>
    <n v="38001025002"/>
    <x v="17"/>
    <s v="Evento - T215 - Provisão Desoner.INSS 13o Salário-Mês"/>
    <n v="1159"/>
    <x v="0"/>
    <n v="47"/>
    <n v="1160"/>
    <x v="2"/>
    <n v="5045.59"/>
  </r>
  <r>
    <x v="4"/>
    <x v="12"/>
    <n v="38001004001"/>
    <x v="34"/>
    <s v="PROV GRATIFICAÇÃO / BONIFICAÇÃO REF C.C 4701150"/>
    <n v="1159"/>
    <x v="0"/>
    <n v="47"/>
    <n v="1150"/>
    <x v="0"/>
    <n v="14907.25"/>
  </r>
  <r>
    <x v="4"/>
    <x v="12"/>
    <n v="38001004001"/>
    <x v="34"/>
    <s v="PROV GRATIFICAÇÃO / BONIFICAÇÃO REF C.C 4701159"/>
    <n v="1159"/>
    <x v="0"/>
    <n v="47"/>
    <n v="1159"/>
    <x v="1"/>
    <n v="38703.93"/>
  </r>
  <r>
    <x v="4"/>
    <x v="12"/>
    <n v="38001004001"/>
    <x v="34"/>
    <s v="PROV GRATIFICAÇÃO / BONIFICAÇÃO REF C.C 4701160"/>
    <n v="1159"/>
    <x v="0"/>
    <n v="47"/>
    <n v="1160"/>
    <x v="2"/>
    <n v="14404.93"/>
  </r>
  <r>
    <x v="4"/>
    <x v="7"/>
    <n v="38001023002"/>
    <x v="16"/>
    <s v="Evento - T110 - Provisão de INSS de Férias - Mês"/>
    <n v="1159"/>
    <x v="0"/>
    <n v="47"/>
    <n v="1150"/>
    <x v="0"/>
    <n v="-37047.21"/>
  </r>
  <r>
    <x v="4"/>
    <x v="7"/>
    <n v="38001023002"/>
    <x v="16"/>
    <s v="Evento - T110 - Provisão de INSS de Férias - Mês"/>
    <n v="1159"/>
    <x v="0"/>
    <n v="47"/>
    <n v="1159"/>
    <x v="1"/>
    <n v="-18173.39"/>
  </r>
  <r>
    <x v="4"/>
    <x v="7"/>
    <n v="38001023002"/>
    <x v="16"/>
    <s v="Evento - T110 - Provisão de INSS de Férias - Mês"/>
    <n v="1159"/>
    <x v="0"/>
    <n v="47"/>
    <n v="1160"/>
    <x v="2"/>
    <n v="-17512.93"/>
  </r>
  <r>
    <x v="4"/>
    <x v="0"/>
    <n v="38001013002"/>
    <x v="0"/>
    <s v="Evento - 5725 - Vale Transporte47150 - Jurídico Corporativo"/>
    <n v="1159"/>
    <x v="0"/>
    <n v="47"/>
    <n v="1150"/>
    <x v="0"/>
    <n v="-425.1"/>
  </r>
  <r>
    <x v="4"/>
    <x v="0"/>
    <n v="38001013002"/>
    <x v="0"/>
    <s v="Evento - 8040 - Vale Refeição47150 - Jurídico Corporativo"/>
    <n v="1159"/>
    <x v="0"/>
    <n v="47"/>
    <n v="1150"/>
    <x v="0"/>
    <n v="-400"/>
  </r>
  <r>
    <x v="4"/>
    <x v="0"/>
    <n v="38001013002"/>
    <x v="0"/>
    <s v="Evento - 8030 - Assistência Médica47150 - Jurídico Corporativo"/>
    <n v="1159"/>
    <x v="0"/>
    <n v="47"/>
    <n v="1150"/>
    <x v="0"/>
    <n v="-647.4"/>
  </r>
  <r>
    <x v="4"/>
    <x v="0"/>
    <n v="38001013002"/>
    <x v="0"/>
    <s v="Evento - 8030 - Assistência Médica47159 - Diretoria Jurídica"/>
    <n v="1159"/>
    <x v="0"/>
    <n v="47"/>
    <n v="1159"/>
    <x v="1"/>
    <n v="-647.4"/>
  </r>
  <r>
    <x v="4"/>
    <x v="0"/>
    <n v="38001013002"/>
    <x v="0"/>
    <s v="Evento - 8030 - Assistência Médica47160 - Jurídico Imobiliário"/>
    <n v="1159"/>
    <x v="0"/>
    <n v="47"/>
    <n v="1160"/>
    <x v="2"/>
    <n v="-431.6"/>
  </r>
  <r>
    <x v="4"/>
    <x v="0"/>
    <n v="38001013002"/>
    <x v="0"/>
    <s v="Evento - 8086 - Assistência Médica Dependente47160 - Jurídico Imobiliário"/>
    <n v="1159"/>
    <x v="0"/>
    <n v="47"/>
    <n v="1160"/>
    <x v="2"/>
    <n v="-655.16"/>
  </r>
  <r>
    <x v="4"/>
    <x v="7"/>
    <n v="38001023002"/>
    <x v="16"/>
    <s v="Evento - T110 - Provisão de INSS de Férias - Mês"/>
    <n v="1159"/>
    <x v="0"/>
    <n v="47"/>
    <n v="1150"/>
    <x v="0"/>
    <n v="37047.21"/>
  </r>
  <r>
    <x v="4"/>
    <x v="7"/>
    <n v="38001023002"/>
    <x v="16"/>
    <s v="Evento - T115 - Provisão Desoneração Inss Férias-Mês"/>
    <n v="1159"/>
    <x v="0"/>
    <n v="47"/>
    <n v="1150"/>
    <x v="0"/>
    <n v="-18195.89"/>
  </r>
  <r>
    <x v="4"/>
    <x v="7"/>
    <n v="38001023002"/>
    <x v="16"/>
    <s v="Evento - T110 - Provisão de INSS de Férias - Mês"/>
    <n v="1159"/>
    <x v="0"/>
    <n v="47"/>
    <n v="1159"/>
    <x v="1"/>
    <n v="18173.39"/>
  </r>
  <r>
    <x v="4"/>
    <x v="7"/>
    <n v="38001023002"/>
    <x v="16"/>
    <s v="Evento - T115 - Provisão Desoneração Inss Férias-Mês"/>
    <n v="1159"/>
    <x v="0"/>
    <n v="47"/>
    <n v="1159"/>
    <x v="1"/>
    <n v="-7294.27"/>
  </r>
  <r>
    <x v="4"/>
    <x v="7"/>
    <n v="38001023002"/>
    <x v="16"/>
    <s v="Evento - T110 - Provisão de INSS de Férias - Mês"/>
    <n v="1159"/>
    <x v="0"/>
    <n v="47"/>
    <n v="1160"/>
    <x v="2"/>
    <n v="17512.93"/>
  </r>
  <r>
    <x v="4"/>
    <x v="7"/>
    <n v="38001023002"/>
    <x v="16"/>
    <s v="Evento - T115 - Provisão Desoneração Inss Férias-Mês"/>
    <n v="1159"/>
    <x v="0"/>
    <n v="47"/>
    <n v="1160"/>
    <x v="2"/>
    <n v="-7737.85"/>
  </r>
  <r>
    <x v="4"/>
    <x v="0"/>
    <n v="38001013002"/>
    <x v="0"/>
    <s v="Evento - 5530 - Contribuição Assistencial47150 - Jurídico Corporativo"/>
    <n v="1159"/>
    <x v="0"/>
    <n v="47"/>
    <n v="1150"/>
    <x v="0"/>
    <n v="-194.72"/>
  </r>
  <r>
    <x v="4"/>
    <x v="0"/>
    <n v="38001013002"/>
    <x v="0"/>
    <s v="Evento - 5530 - Contribuição Assistencial47159 - Diretoria Jurídica"/>
    <n v="1159"/>
    <x v="0"/>
    <n v="47"/>
    <n v="1159"/>
    <x v="1"/>
    <n v="-48.68"/>
  </r>
  <r>
    <x v="4"/>
    <x v="0"/>
    <n v="38001013002"/>
    <x v="0"/>
    <s v="Evento - 5530 - Contribuição Assistencial47160 - Jurídico Imobiliário"/>
    <n v="1159"/>
    <x v="0"/>
    <n v="47"/>
    <n v="1160"/>
    <x v="2"/>
    <n v="-48.68"/>
  </r>
  <r>
    <x v="4"/>
    <x v="7"/>
    <n v="38001023001"/>
    <x v="20"/>
    <s v="Evento - T100 - Provisão de Férias - Mês"/>
    <n v="1159"/>
    <x v="0"/>
    <n v="47"/>
    <n v="1150"/>
    <x v="0"/>
    <n v="7664.94"/>
  </r>
  <r>
    <x v="4"/>
    <x v="7"/>
    <n v="38001023001"/>
    <x v="20"/>
    <s v="Evento - T100 - Provisão de Férias - Mês"/>
    <n v="1159"/>
    <x v="0"/>
    <n v="47"/>
    <n v="1159"/>
    <x v="1"/>
    <n v="7219.05"/>
  </r>
  <r>
    <x v="4"/>
    <x v="7"/>
    <n v="38001023001"/>
    <x v="20"/>
    <s v="Evento - T100 - Provisão de Férias - Mês"/>
    <n v="1159"/>
    <x v="0"/>
    <n v="47"/>
    <n v="1160"/>
    <x v="2"/>
    <n v="6727.44"/>
  </r>
  <r>
    <x v="4"/>
    <x v="3"/>
    <n v="38001011004"/>
    <x v="5"/>
    <s v="- AMORTIZACAO DAS PARCELAS SEGUROS 05 2026 /47151 - Provis�es JurIdicas. / 4701151"/>
    <n v="1159"/>
    <x v="0"/>
    <n v="47"/>
    <n v="1150"/>
    <x v="0"/>
    <n v="12.32"/>
  </r>
  <r>
    <x v="4"/>
    <x v="10"/>
    <n v="38001022001"/>
    <x v="30"/>
    <s v="LTDA Despesas Administrativas"/>
    <n v="1000"/>
    <x v="1"/>
    <n v="51"/>
    <n v="1003"/>
    <x v="3"/>
    <n v="24891.360000000001"/>
  </r>
  <r>
    <x v="4"/>
    <x v="10"/>
    <n v="38001022002"/>
    <x v="33"/>
    <s v="LTDA Despesas Administrativas"/>
    <n v="1000"/>
    <x v="1"/>
    <n v="51"/>
    <n v="1003"/>
    <x v="3"/>
    <n v="13478.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000"/>
    <x v="0"/>
    <n v="1003"/>
    <x v="0"/>
    <s v="Opex"/>
    <x v="0"/>
    <x v="0"/>
    <x v="0"/>
    <n v="20000"/>
  </r>
  <r>
    <n v="1000"/>
    <x v="0"/>
    <n v="1003"/>
    <x v="0"/>
    <s v="Opex"/>
    <x v="0"/>
    <x v="1"/>
    <x v="0"/>
    <n v="600"/>
  </r>
  <r>
    <n v="1000"/>
    <x v="0"/>
    <n v="1003"/>
    <x v="0"/>
    <s v="Opex"/>
    <x v="0"/>
    <x v="2"/>
    <x v="0"/>
    <n v="5000"/>
  </r>
  <r>
    <n v="1159"/>
    <x v="1"/>
    <n v="1150"/>
    <x v="1"/>
    <s v="Opex"/>
    <x v="1"/>
    <x v="3"/>
    <x v="0"/>
    <n v="200"/>
  </r>
  <r>
    <n v="1159"/>
    <x v="1"/>
    <n v="1150"/>
    <x v="1"/>
    <s v="Opex"/>
    <x v="2"/>
    <x v="4"/>
    <x v="0"/>
    <n v="5000"/>
  </r>
  <r>
    <n v="1159"/>
    <x v="1"/>
    <n v="1150"/>
    <x v="1"/>
    <s v="Opex"/>
    <x v="2"/>
    <x v="5"/>
    <x v="0"/>
    <n v="3023.6305000000002"/>
  </r>
  <r>
    <n v="1159"/>
    <x v="1"/>
    <n v="1150"/>
    <x v="1"/>
    <s v="Opex"/>
    <x v="3"/>
    <x v="6"/>
    <x v="0"/>
    <n v="140000"/>
  </r>
  <r>
    <n v="1159"/>
    <x v="1"/>
    <n v="1150"/>
    <x v="1"/>
    <s v="Opex"/>
    <x v="3"/>
    <x v="7"/>
    <x v="0"/>
    <n v="150000"/>
  </r>
  <r>
    <n v="1159"/>
    <x v="1"/>
    <n v="1150"/>
    <x v="1"/>
    <s v="Opex"/>
    <x v="3"/>
    <x v="8"/>
    <x v="0"/>
    <n v="10000"/>
  </r>
  <r>
    <n v="1159"/>
    <x v="1"/>
    <n v="1150"/>
    <x v="1"/>
    <s v="Opex"/>
    <x v="3"/>
    <x v="9"/>
    <x v="0"/>
    <n v="24671.843625000001"/>
  </r>
  <r>
    <n v="1159"/>
    <x v="1"/>
    <n v="1150"/>
    <x v="1"/>
    <s v="Opex"/>
    <x v="4"/>
    <x v="10"/>
    <x v="0"/>
    <n v="2500"/>
  </r>
  <r>
    <n v="1159"/>
    <x v="1"/>
    <n v="1150"/>
    <x v="1"/>
    <s v="Opex"/>
    <x v="5"/>
    <x v="11"/>
    <x v="0"/>
    <n v="1000"/>
  </r>
  <r>
    <n v="1159"/>
    <x v="1"/>
    <n v="1150"/>
    <x v="1"/>
    <s v="Opex"/>
    <x v="1"/>
    <x v="12"/>
    <x v="0"/>
    <n v="120"/>
  </r>
  <r>
    <n v="1159"/>
    <x v="1"/>
    <n v="1150"/>
    <x v="1"/>
    <s v="Opex"/>
    <x v="4"/>
    <x v="13"/>
    <x v="0"/>
    <m/>
  </r>
  <r>
    <n v="1159"/>
    <x v="1"/>
    <n v="1150"/>
    <x v="1"/>
    <s v="Opex"/>
    <x v="4"/>
    <x v="14"/>
    <x v="0"/>
    <m/>
  </r>
  <r>
    <n v="1159"/>
    <x v="1"/>
    <n v="1150"/>
    <x v="1"/>
    <s v="Opex"/>
    <x v="4"/>
    <x v="15"/>
    <x v="0"/>
    <n v="0"/>
  </r>
  <r>
    <n v="1159"/>
    <x v="1"/>
    <n v="1150"/>
    <x v="1"/>
    <s v="Opex"/>
    <x v="3"/>
    <x v="9"/>
    <x v="0"/>
    <n v="5000"/>
  </r>
  <r>
    <n v="1159"/>
    <x v="1"/>
    <n v="1159"/>
    <x v="2"/>
    <s v="Opex"/>
    <x v="1"/>
    <x v="3"/>
    <x v="0"/>
    <n v="37.5"/>
  </r>
  <r>
    <n v="1159"/>
    <x v="1"/>
    <n v="1159"/>
    <x v="2"/>
    <s v="Opex"/>
    <x v="6"/>
    <x v="16"/>
    <x v="0"/>
    <n v="550"/>
  </r>
  <r>
    <n v="1159"/>
    <x v="1"/>
    <n v="1159"/>
    <x v="2"/>
    <s v="Opex"/>
    <x v="3"/>
    <x v="9"/>
    <x v="0"/>
    <n v="2000"/>
  </r>
  <r>
    <n v="1159"/>
    <x v="1"/>
    <n v="1159"/>
    <x v="2"/>
    <s v="Opex"/>
    <x v="7"/>
    <x v="17"/>
    <x v="0"/>
    <n v="2402.321625"/>
  </r>
  <r>
    <n v="1159"/>
    <x v="1"/>
    <n v="1159"/>
    <x v="2"/>
    <s v="Opex"/>
    <x v="7"/>
    <x v="18"/>
    <x v="0"/>
    <n v="6544.64"/>
  </r>
  <r>
    <n v="1159"/>
    <x v="1"/>
    <n v="1159"/>
    <x v="2"/>
    <s v="Opex"/>
    <x v="7"/>
    <x v="19"/>
    <x v="0"/>
    <m/>
  </r>
  <r>
    <n v="1159"/>
    <x v="1"/>
    <n v="1159"/>
    <x v="2"/>
    <s v="Opex"/>
    <x v="5"/>
    <x v="20"/>
    <x v="0"/>
    <n v="4940.6046249999999"/>
  </r>
  <r>
    <n v="1159"/>
    <x v="1"/>
    <n v="1159"/>
    <x v="2"/>
    <s v="Opex"/>
    <x v="5"/>
    <x v="21"/>
    <x v="0"/>
    <n v="6000"/>
  </r>
  <r>
    <n v="1159"/>
    <x v="1"/>
    <n v="1159"/>
    <x v="2"/>
    <s v="Opex"/>
    <x v="7"/>
    <x v="22"/>
    <x v="0"/>
    <n v="891.80850000000021"/>
  </r>
  <r>
    <n v="1159"/>
    <x v="1"/>
    <n v="1159"/>
    <x v="2"/>
    <s v="Opex"/>
    <x v="5"/>
    <x v="23"/>
    <x v="0"/>
    <n v="725.81024999999988"/>
  </r>
  <r>
    <n v="1159"/>
    <x v="1"/>
    <n v="1159"/>
    <x v="2"/>
    <s v="Opex"/>
    <x v="5"/>
    <x v="11"/>
    <x v="0"/>
    <n v="600"/>
  </r>
  <r>
    <n v="1159"/>
    <x v="1"/>
    <n v="1160"/>
    <x v="3"/>
    <s v="Opex"/>
    <x v="1"/>
    <x v="3"/>
    <x v="0"/>
    <n v="137.5"/>
  </r>
  <r>
    <n v="1159"/>
    <x v="1"/>
    <n v="1160"/>
    <x v="3"/>
    <s v="Opex"/>
    <x v="2"/>
    <x v="4"/>
    <x v="0"/>
    <n v="25000"/>
  </r>
  <r>
    <n v="1159"/>
    <x v="1"/>
    <n v="1160"/>
    <x v="3"/>
    <s v="Opex"/>
    <x v="3"/>
    <x v="7"/>
    <x v="0"/>
    <n v="10000"/>
  </r>
  <r>
    <n v="1159"/>
    <x v="1"/>
    <n v="1160"/>
    <x v="3"/>
    <s v="Opex"/>
    <x v="3"/>
    <x v="6"/>
    <x v="0"/>
    <n v="7000"/>
  </r>
  <r>
    <n v="1159"/>
    <x v="1"/>
    <n v="1160"/>
    <x v="3"/>
    <s v="Opex"/>
    <x v="3"/>
    <x v="9"/>
    <x v="0"/>
    <n v="5000"/>
  </r>
  <r>
    <n v="1159"/>
    <x v="1"/>
    <n v="1160"/>
    <x v="3"/>
    <s v="Opex"/>
    <x v="4"/>
    <x v="10"/>
    <x v="0"/>
    <n v="21000"/>
  </r>
  <r>
    <n v="1159"/>
    <x v="1"/>
    <n v="1160"/>
    <x v="3"/>
    <s v="Opex"/>
    <x v="5"/>
    <x v="11"/>
    <x v="0"/>
    <n v="300"/>
  </r>
  <r>
    <n v="1159"/>
    <x v="1"/>
    <n v="1150"/>
    <x v="1"/>
    <s v="Opex"/>
    <x v="8"/>
    <x v="24"/>
    <x v="0"/>
    <n v="2065.9478260000001"/>
  </r>
  <r>
    <n v="1159"/>
    <x v="1"/>
    <n v="1150"/>
    <x v="1"/>
    <s v="Opex"/>
    <x v="8"/>
    <x v="25"/>
    <x v="0"/>
    <n v="6190.4120109999985"/>
  </r>
  <r>
    <n v="1159"/>
    <x v="1"/>
    <n v="1150"/>
    <x v="1"/>
    <s v="Opex"/>
    <x v="8"/>
    <x v="26"/>
    <x v="0"/>
    <n v="0"/>
  </r>
  <r>
    <n v="1159"/>
    <x v="1"/>
    <n v="1150"/>
    <x v="1"/>
    <s v="Opex"/>
    <x v="8"/>
    <x v="27"/>
    <x v="0"/>
    <n v="9380.2799999999988"/>
  </r>
  <r>
    <n v="1159"/>
    <x v="1"/>
    <n v="1150"/>
    <x v="1"/>
    <s v="Opex"/>
    <x v="8"/>
    <x v="28"/>
    <x v="0"/>
    <n v="375.18000000000006"/>
  </r>
  <r>
    <n v="1159"/>
    <x v="1"/>
    <n v="1150"/>
    <x v="1"/>
    <s v="Opex"/>
    <x v="8"/>
    <x v="29"/>
    <x v="0"/>
    <n v="0"/>
  </r>
  <r>
    <n v="1159"/>
    <x v="1"/>
    <n v="1150"/>
    <x v="1"/>
    <s v="Opex"/>
    <x v="8"/>
    <x v="30"/>
    <x v="0"/>
    <n v="0"/>
  </r>
  <r>
    <n v="1159"/>
    <x v="1"/>
    <n v="1150"/>
    <x v="1"/>
    <s v="Opex"/>
    <x v="8"/>
    <x v="31"/>
    <x v="0"/>
    <n v="5945.1736000000001"/>
  </r>
  <r>
    <n v="1159"/>
    <x v="1"/>
    <n v="1150"/>
    <x v="1"/>
    <s v="Opex"/>
    <x v="8"/>
    <x v="32"/>
    <x v="0"/>
    <n v="165.27582608"/>
  </r>
  <r>
    <n v="1159"/>
    <x v="1"/>
    <n v="1150"/>
    <x v="1"/>
    <s v="Opex"/>
    <x v="8"/>
    <x v="33"/>
    <x v="0"/>
    <n v="495.23296088000006"/>
  </r>
  <r>
    <n v="1159"/>
    <x v="1"/>
    <n v="1150"/>
    <x v="1"/>
    <s v="Opex"/>
    <x v="8"/>
    <x v="34"/>
    <x v="0"/>
    <n v="6539.6909600000008"/>
  </r>
  <r>
    <n v="1159"/>
    <x v="1"/>
    <n v="1150"/>
    <x v="1"/>
    <s v="Opex"/>
    <x v="8"/>
    <x v="35"/>
    <x v="0"/>
    <n v="181.80340868800002"/>
  </r>
  <r>
    <n v="1159"/>
    <x v="1"/>
    <n v="1150"/>
    <x v="1"/>
    <s v="Opex"/>
    <x v="8"/>
    <x v="36"/>
    <x v="0"/>
    <n v="206.5947826"/>
  </r>
  <r>
    <n v="1159"/>
    <x v="1"/>
    <n v="1150"/>
    <x v="1"/>
    <s v="Opex"/>
    <x v="8"/>
    <x v="37"/>
    <x v="0"/>
    <n v="544.756256968"/>
  </r>
  <r>
    <n v="1159"/>
    <x v="1"/>
    <n v="1150"/>
    <x v="1"/>
    <s v="Opex"/>
    <x v="8"/>
    <x v="38"/>
    <x v="0"/>
    <n v="619.04120110000008"/>
  </r>
  <r>
    <n v="1159"/>
    <x v="1"/>
    <n v="1150"/>
    <x v="1"/>
    <s v="Opex"/>
    <x v="8"/>
    <x v="39"/>
    <x v="0"/>
    <n v="7431.4670000000006"/>
  </r>
  <r>
    <n v="1159"/>
    <x v="1"/>
    <n v="1150"/>
    <x v="1"/>
    <s v="Opex"/>
    <x v="8"/>
    <x v="40"/>
    <x v="0"/>
    <n v="72484.428199999995"/>
  </r>
  <r>
    <n v="1159"/>
    <x v="1"/>
    <n v="1150"/>
    <x v="1"/>
    <s v="Opex"/>
    <x v="8"/>
    <x v="41"/>
    <x v="0"/>
    <n v="210.24000000000004"/>
  </r>
  <r>
    <n v="1159"/>
    <x v="1"/>
    <n v="1150"/>
    <x v="1"/>
    <s v="Opex"/>
    <x v="8"/>
    <x v="42"/>
    <x v="0"/>
    <n v="9975"/>
  </r>
  <r>
    <n v="1159"/>
    <x v="1"/>
    <n v="1150"/>
    <x v="1"/>
    <s v="Opex"/>
    <x v="8"/>
    <x v="43"/>
    <x v="0"/>
    <n v="753.48"/>
  </r>
  <r>
    <n v="1159"/>
    <x v="1"/>
    <n v="1159"/>
    <x v="2"/>
    <s v="Opex"/>
    <x v="8"/>
    <x v="24"/>
    <x v="0"/>
    <n v="1658.8415679999998"/>
  </r>
  <r>
    <n v="1159"/>
    <x v="1"/>
    <n v="1159"/>
    <x v="2"/>
    <s v="Opex"/>
    <x v="8"/>
    <x v="25"/>
    <x v="0"/>
    <n v="4970.557648"/>
  </r>
  <r>
    <n v="1159"/>
    <x v="1"/>
    <n v="1159"/>
    <x v="2"/>
    <s v="Opex"/>
    <x v="8"/>
    <x v="26"/>
    <x v="0"/>
    <n v="0"/>
  </r>
  <r>
    <n v="1159"/>
    <x v="1"/>
    <n v="1159"/>
    <x v="2"/>
    <s v="Opex"/>
    <x v="8"/>
    <x v="27"/>
    <x v="0"/>
    <n v="2612.88"/>
  </r>
  <r>
    <n v="1159"/>
    <x v="1"/>
    <n v="1159"/>
    <x v="2"/>
    <s v="Opex"/>
    <x v="8"/>
    <x v="28"/>
    <x v="0"/>
    <n v="86.58"/>
  </r>
  <r>
    <n v="1159"/>
    <x v="1"/>
    <n v="1159"/>
    <x v="2"/>
    <s v="Opex"/>
    <x v="8"/>
    <x v="29"/>
    <x v="0"/>
    <n v="0"/>
  </r>
  <r>
    <n v="1159"/>
    <x v="1"/>
    <n v="1159"/>
    <x v="2"/>
    <s v="Opex"/>
    <x v="8"/>
    <x v="30"/>
    <x v="0"/>
    <m/>
  </r>
  <r>
    <n v="1159"/>
    <x v="1"/>
    <n v="1159"/>
    <x v="2"/>
    <s v="Opex"/>
    <x v="8"/>
    <x v="31"/>
    <x v="0"/>
    <n v="4773.6448"/>
  </r>
  <r>
    <n v="1159"/>
    <x v="1"/>
    <n v="1159"/>
    <x v="2"/>
    <s v="Opex"/>
    <x v="8"/>
    <x v="32"/>
    <x v="0"/>
    <n v="132.70732544000001"/>
  </r>
  <r>
    <n v="1159"/>
    <x v="1"/>
    <n v="1159"/>
    <x v="2"/>
    <s v="Opex"/>
    <x v="8"/>
    <x v="33"/>
    <x v="0"/>
    <n v="397.64461183999998"/>
  </r>
  <r>
    <n v="1159"/>
    <x v="1"/>
    <n v="1159"/>
    <x v="2"/>
    <s v="Opex"/>
    <x v="8"/>
    <x v="34"/>
    <x v="0"/>
    <n v="5251.0092800000011"/>
  </r>
  <r>
    <n v="1159"/>
    <x v="1"/>
    <n v="1159"/>
    <x v="2"/>
    <s v="Opex"/>
    <x v="8"/>
    <x v="35"/>
    <x v="0"/>
    <n v="145.97805798400003"/>
  </r>
  <r>
    <n v="1159"/>
    <x v="1"/>
    <n v="1159"/>
    <x v="2"/>
    <s v="Opex"/>
    <x v="8"/>
    <x v="36"/>
    <x v="0"/>
    <n v="165.8841568"/>
  </r>
  <r>
    <n v="1159"/>
    <x v="1"/>
    <n v="1159"/>
    <x v="2"/>
    <s v="Opex"/>
    <x v="8"/>
    <x v="37"/>
    <x v="0"/>
    <n v="437.40907302400007"/>
  </r>
  <r>
    <n v="1159"/>
    <x v="1"/>
    <n v="1159"/>
    <x v="2"/>
    <s v="Opex"/>
    <x v="8"/>
    <x v="38"/>
    <x v="0"/>
    <n v="497.05576480000002"/>
  </r>
  <r>
    <n v="1159"/>
    <x v="1"/>
    <n v="1159"/>
    <x v="2"/>
    <s v="Opex"/>
    <x v="8"/>
    <x v="39"/>
    <x v="0"/>
    <n v="5967.0560000000005"/>
  </r>
  <r>
    <n v="1159"/>
    <x v="1"/>
    <n v="1159"/>
    <x v="2"/>
    <s v="Opex"/>
    <x v="8"/>
    <x v="40"/>
    <x v="0"/>
    <n v="59023.16"/>
  </r>
  <r>
    <n v="1159"/>
    <x v="1"/>
    <n v="1159"/>
    <x v="2"/>
    <s v="Opex"/>
    <x v="8"/>
    <x v="41"/>
    <x v="0"/>
    <n v="52.56"/>
  </r>
  <r>
    <n v="1159"/>
    <x v="1"/>
    <n v="1159"/>
    <x v="2"/>
    <s v="Opex"/>
    <x v="8"/>
    <x v="42"/>
    <x v="0"/>
    <n v="2520"/>
  </r>
  <r>
    <n v="1159"/>
    <x v="1"/>
    <n v="1159"/>
    <x v="2"/>
    <s v="Opex"/>
    <x v="8"/>
    <x v="43"/>
    <x v="0"/>
    <n v="0"/>
  </r>
  <r>
    <n v="1159"/>
    <x v="1"/>
    <n v="1160"/>
    <x v="3"/>
    <s v="Opex"/>
    <x v="8"/>
    <x v="24"/>
    <x v="0"/>
    <n v="1683.2049320000001"/>
  </r>
  <r>
    <n v="1159"/>
    <x v="1"/>
    <n v="1160"/>
    <x v="3"/>
    <s v="Opex"/>
    <x v="8"/>
    <x v="25"/>
    <x v="0"/>
    <n v="5043.5601019999995"/>
  </r>
  <r>
    <n v="1159"/>
    <x v="1"/>
    <n v="1160"/>
    <x v="3"/>
    <s v="Opex"/>
    <x v="8"/>
    <x v="26"/>
    <x v="0"/>
    <n v="0"/>
  </r>
  <r>
    <n v="1159"/>
    <x v="1"/>
    <n v="1160"/>
    <x v="3"/>
    <s v="Opex"/>
    <x v="8"/>
    <x v="27"/>
    <x v="0"/>
    <n v="6983.2"/>
  </r>
  <r>
    <n v="1159"/>
    <x v="1"/>
    <n v="1160"/>
    <x v="3"/>
    <s v="Opex"/>
    <x v="8"/>
    <x v="28"/>
    <x v="0"/>
    <n v="288.60000000000008"/>
  </r>
  <r>
    <n v="1159"/>
    <x v="1"/>
    <n v="1160"/>
    <x v="3"/>
    <s v="Opex"/>
    <x v="8"/>
    <x v="29"/>
    <x v="0"/>
    <n v="0"/>
  </r>
  <r>
    <n v="1159"/>
    <x v="1"/>
    <n v="1160"/>
    <x v="3"/>
    <s v="Opex"/>
    <x v="8"/>
    <x v="30"/>
    <x v="0"/>
    <m/>
  </r>
  <r>
    <n v="1159"/>
    <x v="1"/>
    <n v="1160"/>
    <x v="3"/>
    <s v="Opex"/>
    <x v="8"/>
    <x v="31"/>
    <x v="0"/>
    <n v="4843.7551999999996"/>
  </r>
  <r>
    <n v="1159"/>
    <x v="1"/>
    <n v="1160"/>
    <x v="3"/>
    <s v="Opex"/>
    <x v="8"/>
    <x v="32"/>
    <x v="0"/>
    <n v="134.65639456"/>
  </r>
  <r>
    <n v="1159"/>
    <x v="1"/>
    <n v="1160"/>
    <x v="3"/>
    <s v="Opex"/>
    <x v="8"/>
    <x v="33"/>
    <x v="0"/>
    <n v="403.48480816000006"/>
  </r>
  <r>
    <n v="1159"/>
    <x v="1"/>
    <n v="1160"/>
    <x v="3"/>
    <s v="Opex"/>
    <x v="8"/>
    <x v="34"/>
    <x v="0"/>
    <n v="5328.1307200000001"/>
  </r>
  <r>
    <n v="1159"/>
    <x v="1"/>
    <n v="1160"/>
    <x v="3"/>
    <s v="Opex"/>
    <x v="8"/>
    <x v="35"/>
    <x v="0"/>
    <n v="148.12203401600001"/>
  </r>
  <r>
    <n v="1159"/>
    <x v="1"/>
    <n v="1160"/>
    <x v="3"/>
    <s v="Opex"/>
    <x v="8"/>
    <x v="36"/>
    <x v="0"/>
    <n v="168.32049319999999"/>
  </r>
  <r>
    <n v="1159"/>
    <x v="1"/>
    <n v="1160"/>
    <x v="3"/>
    <s v="Opex"/>
    <x v="8"/>
    <x v="37"/>
    <x v="0"/>
    <n v="443.83328897600006"/>
  </r>
  <r>
    <n v="1159"/>
    <x v="1"/>
    <n v="1160"/>
    <x v="3"/>
    <s v="Opex"/>
    <x v="8"/>
    <x v="38"/>
    <x v="0"/>
    <n v="504.35601020000001"/>
  </r>
  <r>
    <n v="1159"/>
    <x v="1"/>
    <n v="1160"/>
    <x v="3"/>
    <s v="Opex"/>
    <x v="8"/>
    <x v="39"/>
    <x v="0"/>
    <n v="6054.6940000000004"/>
  </r>
  <r>
    <n v="1159"/>
    <x v="1"/>
    <n v="1160"/>
    <x v="3"/>
    <s v="Opex"/>
    <x v="8"/>
    <x v="40"/>
    <x v="0"/>
    <n v="59431.319999999992"/>
  </r>
  <r>
    <n v="1159"/>
    <x v="1"/>
    <n v="1160"/>
    <x v="3"/>
    <s v="Opex"/>
    <x v="8"/>
    <x v="41"/>
    <x v="0"/>
    <n v="157.68"/>
  </r>
  <r>
    <n v="1159"/>
    <x v="1"/>
    <n v="1160"/>
    <x v="3"/>
    <s v="Opex"/>
    <x v="8"/>
    <x v="42"/>
    <x v="0"/>
    <n v="7560"/>
  </r>
  <r>
    <n v="1159"/>
    <x v="1"/>
    <n v="1160"/>
    <x v="3"/>
    <s v="Opex"/>
    <x v="8"/>
    <x v="43"/>
    <x v="0"/>
    <n v="0"/>
  </r>
  <r>
    <n v="1000"/>
    <x v="0"/>
    <n v="1003"/>
    <x v="0"/>
    <s v="Opex"/>
    <x v="0"/>
    <x v="0"/>
    <x v="1"/>
    <n v="20000"/>
  </r>
  <r>
    <n v="1000"/>
    <x v="0"/>
    <n v="1003"/>
    <x v="0"/>
    <s v="Opex"/>
    <x v="0"/>
    <x v="1"/>
    <x v="1"/>
    <n v="600"/>
  </r>
  <r>
    <n v="1000"/>
    <x v="0"/>
    <n v="1003"/>
    <x v="0"/>
    <s v="Opex"/>
    <x v="0"/>
    <x v="2"/>
    <x v="1"/>
    <n v="5000"/>
  </r>
  <r>
    <n v="1159"/>
    <x v="1"/>
    <n v="1150"/>
    <x v="1"/>
    <s v="Opex"/>
    <x v="1"/>
    <x v="3"/>
    <x v="1"/>
    <n v="200"/>
  </r>
  <r>
    <n v="1159"/>
    <x v="1"/>
    <n v="1150"/>
    <x v="1"/>
    <s v="Opex"/>
    <x v="2"/>
    <x v="4"/>
    <x v="1"/>
    <n v="5000"/>
  </r>
  <r>
    <n v="1159"/>
    <x v="1"/>
    <n v="1150"/>
    <x v="1"/>
    <s v="Opex"/>
    <x v="2"/>
    <x v="5"/>
    <x v="1"/>
    <n v="3023.6305000000002"/>
  </r>
  <r>
    <n v="1159"/>
    <x v="1"/>
    <n v="1150"/>
    <x v="1"/>
    <s v="Opex"/>
    <x v="3"/>
    <x v="6"/>
    <x v="1"/>
    <n v="140000"/>
  </r>
  <r>
    <n v="1159"/>
    <x v="1"/>
    <n v="1150"/>
    <x v="1"/>
    <s v="Opex"/>
    <x v="3"/>
    <x v="7"/>
    <x v="1"/>
    <n v="150000"/>
  </r>
  <r>
    <n v="1159"/>
    <x v="1"/>
    <n v="1150"/>
    <x v="1"/>
    <s v="Opex"/>
    <x v="3"/>
    <x v="8"/>
    <x v="1"/>
    <n v="15000"/>
  </r>
  <r>
    <n v="1159"/>
    <x v="1"/>
    <n v="1150"/>
    <x v="1"/>
    <s v="Opex"/>
    <x v="3"/>
    <x v="9"/>
    <x v="1"/>
    <n v="24671.843625000001"/>
  </r>
  <r>
    <n v="1159"/>
    <x v="1"/>
    <n v="1150"/>
    <x v="1"/>
    <s v="Opex"/>
    <x v="4"/>
    <x v="10"/>
    <x v="1"/>
    <n v="2000"/>
  </r>
  <r>
    <n v="1159"/>
    <x v="1"/>
    <n v="1150"/>
    <x v="1"/>
    <s v="Opex"/>
    <x v="5"/>
    <x v="11"/>
    <x v="1"/>
    <n v="74.944374999999994"/>
  </r>
  <r>
    <n v="1159"/>
    <x v="1"/>
    <n v="1150"/>
    <x v="1"/>
    <s v="Opex"/>
    <x v="1"/>
    <x v="12"/>
    <x v="1"/>
    <n v="120"/>
  </r>
  <r>
    <n v="1159"/>
    <x v="1"/>
    <n v="1150"/>
    <x v="1"/>
    <s v="Opex"/>
    <x v="4"/>
    <x v="13"/>
    <x v="1"/>
    <m/>
  </r>
  <r>
    <n v="1159"/>
    <x v="1"/>
    <n v="1150"/>
    <x v="1"/>
    <s v="Opex"/>
    <x v="4"/>
    <x v="14"/>
    <x v="1"/>
    <m/>
  </r>
  <r>
    <n v="1159"/>
    <x v="1"/>
    <n v="1150"/>
    <x v="1"/>
    <s v="Opex"/>
    <x v="4"/>
    <x v="15"/>
    <x v="1"/>
    <n v="200"/>
  </r>
  <r>
    <n v="1159"/>
    <x v="1"/>
    <n v="1150"/>
    <x v="1"/>
    <s v="Opex"/>
    <x v="3"/>
    <x v="9"/>
    <x v="1"/>
    <n v="10000"/>
  </r>
  <r>
    <n v="1159"/>
    <x v="1"/>
    <n v="1159"/>
    <x v="2"/>
    <s v="Opex"/>
    <x v="1"/>
    <x v="3"/>
    <x v="1"/>
    <n v="37.5"/>
  </r>
  <r>
    <n v="1159"/>
    <x v="1"/>
    <n v="1159"/>
    <x v="2"/>
    <s v="Opex"/>
    <x v="6"/>
    <x v="16"/>
    <x v="1"/>
    <n v="524.68212500000004"/>
  </r>
  <r>
    <n v="1159"/>
    <x v="1"/>
    <n v="1159"/>
    <x v="2"/>
    <s v="Opex"/>
    <x v="3"/>
    <x v="9"/>
    <x v="1"/>
    <n v="182.87500000000003"/>
  </r>
  <r>
    <n v="1159"/>
    <x v="1"/>
    <n v="1159"/>
    <x v="2"/>
    <s v="Opex"/>
    <x v="7"/>
    <x v="17"/>
    <x v="1"/>
    <n v="2402.321625"/>
  </r>
  <r>
    <n v="1159"/>
    <x v="1"/>
    <n v="1159"/>
    <x v="2"/>
    <s v="Opex"/>
    <x v="7"/>
    <x v="18"/>
    <x v="1"/>
    <n v="6544.64"/>
  </r>
  <r>
    <n v="1159"/>
    <x v="1"/>
    <n v="1159"/>
    <x v="2"/>
    <s v="Opex"/>
    <x v="7"/>
    <x v="19"/>
    <x v="1"/>
    <m/>
  </r>
  <r>
    <n v="1159"/>
    <x v="1"/>
    <n v="1159"/>
    <x v="2"/>
    <s v="Opex"/>
    <x v="5"/>
    <x v="20"/>
    <x v="1"/>
    <n v="6000"/>
  </r>
  <r>
    <n v="1159"/>
    <x v="1"/>
    <n v="1159"/>
    <x v="2"/>
    <s v="Opex"/>
    <x v="5"/>
    <x v="21"/>
    <x v="1"/>
    <n v="6000"/>
  </r>
  <r>
    <n v="1159"/>
    <x v="1"/>
    <n v="1159"/>
    <x v="2"/>
    <s v="Opex"/>
    <x v="7"/>
    <x v="22"/>
    <x v="1"/>
    <n v="891.80850000000021"/>
  </r>
  <r>
    <n v="1159"/>
    <x v="1"/>
    <n v="1159"/>
    <x v="2"/>
    <s v="Opex"/>
    <x v="5"/>
    <x v="23"/>
    <x v="1"/>
    <n v="1000"/>
  </r>
  <r>
    <n v="1159"/>
    <x v="1"/>
    <n v="1159"/>
    <x v="2"/>
    <s v="Opex"/>
    <x v="5"/>
    <x v="11"/>
    <x v="1"/>
    <n v="600"/>
  </r>
  <r>
    <n v="1159"/>
    <x v="1"/>
    <n v="1160"/>
    <x v="3"/>
    <s v="Opex"/>
    <x v="1"/>
    <x v="3"/>
    <x v="1"/>
    <n v="137.5"/>
  </r>
  <r>
    <n v="1159"/>
    <x v="1"/>
    <n v="1160"/>
    <x v="3"/>
    <s v="Opex"/>
    <x v="2"/>
    <x v="4"/>
    <x v="1"/>
    <n v="25000"/>
  </r>
  <r>
    <n v="1159"/>
    <x v="1"/>
    <n v="1160"/>
    <x v="3"/>
    <s v="Opex"/>
    <x v="3"/>
    <x v="7"/>
    <x v="1"/>
    <n v="10000"/>
  </r>
  <r>
    <n v="1159"/>
    <x v="1"/>
    <n v="1160"/>
    <x v="3"/>
    <s v="Opex"/>
    <x v="3"/>
    <x v="6"/>
    <x v="1"/>
    <n v="7000"/>
  </r>
  <r>
    <n v="1159"/>
    <x v="1"/>
    <n v="1160"/>
    <x v="3"/>
    <s v="Opex"/>
    <x v="3"/>
    <x v="9"/>
    <x v="1"/>
    <n v="5000"/>
  </r>
  <r>
    <n v="1159"/>
    <x v="1"/>
    <n v="1160"/>
    <x v="3"/>
    <s v="Opex"/>
    <x v="4"/>
    <x v="10"/>
    <x v="1"/>
    <n v="21000"/>
  </r>
  <r>
    <n v="1159"/>
    <x v="1"/>
    <n v="1160"/>
    <x v="3"/>
    <s v="Opex"/>
    <x v="5"/>
    <x v="11"/>
    <x v="1"/>
    <n v="300"/>
  </r>
  <r>
    <n v="1159"/>
    <x v="1"/>
    <n v="1150"/>
    <x v="1"/>
    <s v="Opex"/>
    <x v="8"/>
    <x v="24"/>
    <x v="1"/>
    <n v="2065.9478260000001"/>
  </r>
  <r>
    <n v="1159"/>
    <x v="1"/>
    <n v="1150"/>
    <x v="1"/>
    <s v="Opex"/>
    <x v="8"/>
    <x v="25"/>
    <x v="1"/>
    <n v="6190.4120109999985"/>
  </r>
  <r>
    <n v="1159"/>
    <x v="1"/>
    <n v="1150"/>
    <x v="1"/>
    <s v="Opex"/>
    <x v="8"/>
    <x v="26"/>
    <x v="1"/>
    <n v="0"/>
  </r>
  <r>
    <n v="1159"/>
    <x v="1"/>
    <n v="1150"/>
    <x v="1"/>
    <s v="Opex"/>
    <x v="8"/>
    <x v="27"/>
    <x v="1"/>
    <n v="9380.2799999999988"/>
  </r>
  <r>
    <n v="1159"/>
    <x v="1"/>
    <n v="1150"/>
    <x v="1"/>
    <s v="Opex"/>
    <x v="8"/>
    <x v="28"/>
    <x v="1"/>
    <n v="375.18000000000006"/>
  </r>
  <r>
    <n v="1159"/>
    <x v="1"/>
    <n v="1150"/>
    <x v="1"/>
    <s v="Opex"/>
    <x v="8"/>
    <x v="29"/>
    <x v="1"/>
    <n v="0"/>
  </r>
  <r>
    <n v="1159"/>
    <x v="1"/>
    <n v="1150"/>
    <x v="1"/>
    <s v="Opex"/>
    <x v="8"/>
    <x v="30"/>
    <x v="1"/>
    <n v="0"/>
  </r>
  <r>
    <n v="1159"/>
    <x v="1"/>
    <n v="1150"/>
    <x v="1"/>
    <s v="Opex"/>
    <x v="8"/>
    <x v="31"/>
    <x v="1"/>
    <n v="5945.1736000000001"/>
  </r>
  <r>
    <n v="1159"/>
    <x v="1"/>
    <n v="1150"/>
    <x v="1"/>
    <s v="Opex"/>
    <x v="8"/>
    <x v="32"/>
    <x v="1"/>
    <n v="165.27582608"/>
  </r>
  <r>
    <n v="1159"/>
    <x v="1"/>
    <n v="1150"/>
    <x v="1"/>
    <s v="Opex"/>
    <x v="8"/>
    <x v="33"/>
    <x v="1"/>
    <n v="495.23296088000006"/>
  </r>
  <r>
    <n v="1159"/>
    <x v="1"/>
    <n v="1150"/>
    <x v="1"/>
    <s v="Opex"/>
    <x v="8"/>
    <x v="34"/>
    <x v="1"/>
    <n v="6539.6909600000008"/>
  </r>
  <r>
    <n v="1159"/>
    <x v="1"/>
    <n v="1150"/>
    <x v="1"/>
    <s v="Opex"/>
    <x v="8"/>
    <x v="35"/>
    <x v="1"/>
    <n v="181.80340868800002"/>
  </r>
  <r>
    <n v="1159"/>
    <x v="1"/>
    <n v="1150"/>
    <x v="1"/>
    <s v="Opex"/>
    <x v="8"/>
    <x v="36"/>
    <x v="1"/>
    <n v="206.5947826"/>
  </r>
  <r>
    <n v="1159"/>
    <x v="1"/>
    <n v="1150"/>
    <x v="1"/>
    <s v="Opex"/>
    <x v="8"/>
    <x v="37"/>
    <x v="1"/>
    <n v="544.756256968"/>
  </r>
  <r>
    <n v="1159"/>
    <x v="1"/>
    <n v="1150"/>
    <x v="1"/>
    <s v="Opex"/>
    <x v="8"/>
    <x v="38"/>
    <x v="1"/>
    <n v="619.04120110000008"/>
  </r>
  <r>
    <n v="1159"/>
    <x v="1"/>
    <n v="1150"/>
    <x v="1"/>
    <s v="Opex"/>
    <x v="8"/>
    <x v="39"/>
    <x v="1"/>
    <n v="7431.4670000000006"/>
  </r>
  <r>
    <n v="1159"/>
    <x v="1"/>
    <n v="1150"/>
    <x v="1"/>
    <s v="Opex"/>
    <x v="8"/>
    <x v="40"/>
    <x v="1"/>
    <n v="72484.428199999995"/>
  </r>
  <r>
    <n v="1159"/>
    <x v="1"/>
    <n v="1150"/>
    <x v="1"/>
    <s v="Opex"/>
    <x v="8"/>
    <x v="41"/>
    <x v="1"/>
    <n v="210.24000000000004"/>
  </r>
  <r>
    <n v="1159"/>
    <x v="1"/>
    <n v="1150"/>
    <x v="1"/>
    <s v="Opex"/>
    <x v="8"/>
    <x v="42"/>
    <x v="1"/>
    <n v="9975"/>
  </r>
  <r>
    <n v="1159"/>
    <x v="1"/>
    <n v="1150"/>
    <x v="1"/>
    <s v="Opex"/>
    <x v="8"/>
    <x v="43"/>
    <x v="1"/>
    <n v="753.48"/>
  </r>
  <r>
    <n v="1159"/>
    <x v="1"/>
    <n v="1159"/>
    <x v="2"/>
    <s v="Opex"/>
    <x v="8"/>
    <x v="24"/>
    <x v="1"/>
    <n v="1658.8415679999998"/>
  </r>
  <r>
    <n v="1159"/>
    <x v="1"/>
    <n v="1159"/>
    <x v="2"/>
    <s v="Opex"/>
    <x v="8"/>
    <x v="25"/>
    <x v="1"/>
    <n v="4970.557648"/>
  </r>
  <r>
    <n v="1159"/>
    <x v="1"/>
    <n v="1159"/>
    <x v="2"/>
    <s v="Opex"/>
    <x v="8"/>
    <x v="26"/>
    <x v="1"/>
    <n v="0"/>
  </r>
  <r>
    <n v="1159"/>
    <x v="1"/>
    <n v="1159"/>
    <x v="2"/>
    <s v="Opex"/>
    <x v="8"/>
    <x v="27"/>
    <x v="1"/>
    <n v="2612.88"/>
  </r>
  <r>
    <n v="1159"/>
    <x v="1"/>
    <n v="1159"/>
    <x v="2"/>
    <s v="Opex"/>
    <x v="8"/>
    <x v="28"/>
    <x v="1"/>
    <n v="86.58"/>
  </r>
  <r>
    <n v="1159"/>
    <x v="1"/>
    <n v="1159"/>
    <x v="2"/>
    <s v="Opex"/>
    <x v="8"/>
    <x v="29"/>
    <x v="1"/>
    <n v="0"/>
  </r>
  <r>
    <n v="1159"/>
    <x v="1"/>
    <n v="1159"/>
    <x v="2"/>
    <s v="Opex"/>
    <x v="8"/>
    <x v="30"/>
    <x v="1"/>
    <m/>
  </r>
  <r>
    <n v="1159"/>
    <x v="1"/>
    <n v="1159"/>
    <x v="2"/>
    <s v="Opex"/>
    <x v="8"/>
    <x v="31"/>
    <x v="1"/>
    <n v="4773.6448"/>
  </r>
  <r>
    <n v="1159"/>
    <x v="1"/>
    <n v="1159"/>
    <x v="2"/>
    <s v="Opex"/>
    <x v="8"/>
    <x v="32"/>
    <x v="1"/>
    <n v="132.70732544000001"/>
  </r>
  <r>
    <n v="1159"/>
    <x v="1"/>
    <n v="1159"/>
    <x v="2"/>
    <s v="Opex"/>
    <x v="8"/>
    <x v="33"/>
    <x v="1"/>
    <n v="397.64461183999998"/>
  </r>
  <r>
    <n v="1159"/>
    <x v="1"/>
    <n v="1159"/>
    <x v="2"/>
    <s v="Opex"/>
    <x v="8"/>
    <x v="34"/>
    <x v="1"/>
    <n v="5251.0092800000011"/>
  </r>
  <r>
    <n v="1159"/>
    <x v="1"/>
    <n v="1159"/>
    <x v="2"/>
    <s v="Opex"/>
    <x v="8"/>
    <x v="35"/>
    <x v="1"/>
    <n v="145.97805798400003"/>
  </r>
  <r>
    <n v="1159"/>
    <x v="1"/>
    <n v="1159"/>
    <x v="2"/>
    <s v="Opex"/>
    <x v="8"/>
    <x v="36"/>
    <x v="1"/>
    <n v="165.8841568"/>
  </r>
  <r>
    <n v="1159"/>
    <x v="1"/>
    <n v="1159"/>
    <x v="2"/>
    <s v="Opex"/>
    <x v="8"/>
    <x v="37"/>
    <x v="1"/>
    <n v="437.40907302400007"/>
  </r>
  <r>
    <n v="1159"/>
    <x v="1"/>
    <n v="1159"/>
    <x v="2"/>
    <s v="Opex"/>
    <x v="8"/>
    <x v="38"/>
    <x v="1"/>
    <n v="497.05576480000002"/>
  </r>
  <r>
    <n v="1159"/>
    <x v="1"/>
    <n v="1159"/>
    <x v="2"/>
    <s v="Opex"/>
    <x v="8"/>
    <x v="39"/>
    <x v="1"/>
    <n v="5967.0560000000005"/>
  </r>
  <r>
    <n v="1159"/>
    <x v="1"/>
    <n v="1159"/>
    <x v="2"/>
    <s v="Opex"/>
    <x v="8"/>
    <x v="40"/>
    <x v="1"/>
    <n v="59023.16"/>
  </r>
  <r>
    <n v="1159"/>
    <x v="1"/>
    <n v="1159"/>
    <x v="2"/>
    <s v="Opex"/>
    <x v="8"/>
    <x v="41"/>
    <x v="1"/>
    <n v="52.56"/>
  </r>
  <r>
    <n v="1159"/>
    <x v="1"/>
    <n v="1159"/>
    <x v="2"/>
    <s v="Opex"/>
    <x v="8"/>
    <x v="42"/>
    <x v="1"/>
    <n v="2520"/>
  </r>
  <r>
    <n v="1159"/>
    <x v="1"/>
    <n v="1159"/>
    <x v="2"/>
    <s v="Opex"/>
    <x v="8"/>
    <x v="43"/>
    <x v="1"/>
    <n v="0"/>
  </r>
  <r>
    <n v="1159"/>
    <x v="1"/>
    <n v="1160"/>
    <x v="3"/>
    <s v="Opex"/>
    <x v="8"/>
    <x v="24"/>
    <x v="1"/>
    <n v="1858.344932"/>
  </r>
  <r>
    <n v="1159"/>
    <x v="1"/>
    <n v="1160"/>
    <x v="3"/>
    <s v="Opex"/>
    <x v="8"/>
    <x v="25"/>
    <x v="1"/>
    <n v="5568.3501019999994"/>
  </r>
  <r>
    <n v="1159"/>
    <x v="1"/>
    <n v="1160"/>
    <x v="3"/>
    <s v="Opex"/>
    <x v="8"/>
    <x v="26"/>
    <x v="1"/>
    <n v="0"/>
  </r>
  <r>
    <n v="1159"/>
    <x v="1"/>
    <n v="1160"/>
    <x v="3"/>
    <s v="Opex"/>
    <x v="8"/>
    <x v="27"/>
    <x v="1"/>
    <n v="7638.36"/>
  </r>
  <r>
    <n v="1159"/>
    <x v="1"/>
    <n v="1160"/>
    <x v="3"/>
    <s v="Opex"/>
    <x v="8"/>
    <x v="28"/>
    <x v="1"/>
    <n v="317.46000000000009"/>
  </r>
  <r>
    <n v="1159"/>
    <x v="1"/>
    <n v="1160"/>
    <x v="3"/>
    <s v="Opex"/>
    <x v="8"/>
    <x v="29"/>
    <x v="1"/>
    <n v="0"/>
  </r>
  <r>
    <n v="1159"/>
    <x v="1"/>
    <n v="1160"/>
    <x v="3"/>
    <s v="Opex"/>
    <x v="8"/>
    <x v="30"/>
    <x v="1"/>
    <m/>
  </r>
  <r>
    <n v="1159"/>
    <x v="1"/>
    <n v="1160"/>
    <x v="3"/>
    <s v="Opex"/>
    <x v="8"/>
    <x v="31"/>
    <x v="1"/>
    <n v="5347.7551999999996"/>
  </r>
  <r>
    <n v="1159"/>
    <x v="1"/>
    <n v="1160"/>
    <x v="3"/>
    <s v="Opex"/>
    <x v="8"/>
    <x v="32"/>
    <x v="1"/>
    <n v="148.66759456"/>
  </r>
  <r>
    <n v="1159"/>
    <x v="1"/>
    <n v="1160"/>
    <x v="3"/>
    <s v="Opex"/>
    <x v="8"/>
    <x v="33"/>
    <x v="1"/>
    <n v="445.46800815999995"/>
  </r>
  <r>
    <n v="1159"/>
    <x v="1"/>
    <n v="1160"/>
    <x v="3"/>
    <s v="Opex"/>
    <x v="8"/>
    <x v="34"/>
    <x v="1"/>
    <n v="5882.5307200000007"/>
  </r>
  <r>
    <n v="1159"/>
    <x v="1"/>
    <n v="1160"/>
    <x v="3"/>
    <s v="Opex"/>
    <x v="8"/>
    <x v="35"/>
    <x v="1"/>
    <n v="163.53435401600001"/>
  </r>
  <r>
    <n v="1159"/>
    <x v="1"/>
    <n v="1160"/>
    <x v="3"/>
    <s v="Opex"/>
    <x v="8"/>
    <x v="36"/>
    <x v="1"/>
    <n v="185.83449319999997"/>
  </r>
  <r>
    <n v="1159"/>
    <x v="1"/>
    <n v="1160"/>
    <x v="3"/>
    <s v="Opex"/>
    <x v="8"/>
    <x v="37"/>
    <x v="1"/>
    <n v="490.01480897600004"/>
  </r>
  <r>
    <n v="1159"/>
    <x v="1"/>
    <n v="1160"/>
    <x v="3"/>
    <s v="Opex"/>
    <x v="8"/>
    <x v="38"/>
    <x v="1"/>
    <n v="556.83501019999994"/>
  </r>
  <r>
    <n v="1159"/>
    <x v="1"/>
    <n v="1160"/>
    <x v="3"/>
    <s v="Opex"/>
    <x v="8"/>
    <x v="39"/>
    <x v="1"/>
    <n v="6684.6939999999995"/>
  </r>
  <r>
    <n v="1159"/>
    <x v="1"/>
    <n v="1160"/>
    <x v="3"/>
    <s v="Opex"/>
    <x v="8"/>
    <x v="40"/>
    <x v="1"/>
    <n v="65474.28"/>
  </r>
  <r>
    <n v="1159"/>
    <x v="1"/>
    <n v="1160"/>
    <x v="3"/>
    <s v="Opex"/>
    <x v="8"/>
    <x v="41"/>
    <x v="1"/>
    <n v="175.20000000000002"/>
  </r>
  <r>
    <n v="1159"/>
    <x v="1"/>
    <n v="1160"/>
    <x v="3"/>
    <s v="Opex"/>
    <x v="8"/>
    <x v="42"/>
    <x v="1"/>
    <n v="8400"/>
  </r>
  <r>
    <n v="1159"/>
    <x v="1"/>
    <n v="1160"/>
    <x v="3"/>
    <s v="Opex"/>
    <x v="8"/>
    <x v="43"/>
    <x v="1"/>
    <n v="257.04000000000002"/>
  </r>
  <r>
    <n v="1000"/>
    <x v="0"/>
    <n v="1003"/>
    <x v="0"/>
    <s v="Opex"/>
    <x v="0"/>
    <x v="0"/>
    <x v="2"/>
    <n v="20000"/>
  </r>
  <r>
    <n v="1000"/>
    <x v="0"/>
    <n v="1003"/>
    <x v="0"/>
    <s v="Opex"/>
    <x v="0"/>
    <x v="1"/>
    <x v="2"/>
    <n v="600"/>
  </r>
  <r>
    <n v="1000"/>
    <x v="0"/>
    <n v="1003"/>
    <x v="0"/>
    <s v="Opex"/>
    <x v="0"/>
    <x v="2"/>
    <x v="2"/>
    <n v="5000"/>
  </r>
  <r>
    <n v="1159"/>
    <x v="1"/>
    <n v="1150"/>
    <x v="1"/>
    <s v="Opex"/>
    <x v="1"/>
    <x v="3"/>
    <x v="2"/>
    <n v="200"/>
  </r>
  <r>
    <n v="1159"/>
    <x v="1"/>
    <n v="1150"/>
    <x v="1"/>
    <s v="Opex"/>
    <x v="2"/>
    <x v="4"/>
    <x v="2"/>
    <n v="5000"/>
  </r>
  <r>
    <n v="1159"/>
    <x v="1"/>
    <n v="1150"/>
    <x v="1"/>
    <s v="Opex"/>
    <x v="2"/>
    <x v="5"/>
    <x v="2"/>
    <n v="3023.6305000000002"/>
  </r>
  <r>
    <n v="1159"/>
    <x v="1"/>
    <n v="1150"/>
    <x v="1"/>
    <s v="Opex"/>
    <x v="3"/>
    <x v="6"/>
    <x v="2"/>
    <n v="150000"/>
  </r>
  <r>
    <n v="1159"/>
    <x v="1"/>
    <n v="1150"/>
    <x v="1"/>
    <s v="Opex"/>
    <x v="3"/>
    <x v="7"/>
    <x v="2"/>
    <n v="150000"/>
  </r>
  <r>
    <n v="1159"/>
    <x v="1"/>
    <n v="1150"/>
    <x v="1"/>
    <s v="Opex"/>
    <x v="3"/>
    <x v="8"/>
    <x v="2"/>
    <n v="30000"/>
  </r>
  <r>
    <n v="1159"/>
    <x v="1"/>
    <n v="1150"/>
    <x v="1"/>
    <s v="Opex"/>
    <x v="3"/>
    <x v="9"/>
    <x v="2"/>
    <n v="24671.843625000001"/>
  </r>
  <r>
    <n v="1159"/>
    <x v="1"/>
    <n v="1150"/>
    <x v="1"/>
    <s v="Opex"/>
    <x v="4"/>
    <x v="10"/>
    <x v="2"/>
    <n v="2000"/>
  </r>
  <r>
    <n v="1159"/>
    <x v="1"/>
    <n v="1150"/>
    <x v="1"/>
    <s v="Opex"/>
    <x v="5"/>
    <x v="11"/>
    <x v="2"/>
    <n v="1000"/>
  </r>
  <r>
    <n v="1159"/>
    <x v="1"/>
    <n v="1150"/>
    <x v="1"/>
    <s v="Opex"/>
    <x v="1"/>
    <x v="12"/>
    <x v="2"/>
    <n v="120"/>
  </r>
  <r>
    <n v="1159"/>
    <x v="1"/>
    <n v="1150"/>
    <x v="1"/>
    <s v="Opex"/>
    <x v="4"/>
    <x v="13"/>
    <x v="2"/>
    <m/>
  </r>
  <r>
    <n v="1159"/>
    <x v="1"/>
    <n v="1150"/>
    <x v="1"/>
    <s v="Opex"/>
    <x v="4"/>
    <x v="14"/>
    <x v="2"/>
    <m/>
  </r>
  <r>
    <n v="1159"/>
    <x v="1"/>
    <n v="1150"/>
    <x v="1"/>
    <s v="Opex"/>
    <x v="4"/>
    <x v="15"/>
    <x v="2"/>
    <n v="0"/>
  </r>
  <r>
    <n v="1159"/>
    <x v="1"/>
    <n v="1150"/>
    <x v="1"/>
    <s v="Opex"/>
    <x v="3"/>
    <x v="9"/>
    <x v="2"/>
    <n v="5000"/>
  </r>
  <r>
    <n v="1159"/>
    <x v="1"/>
    <n v="1159"/>
    <x v="2"/>
    <s v="Opex"/>
    <x v="1"/>
    <x v="3"/>
    <x v="2"/>
    <n v="37.5"/>
  </r>
  <r>
    <n v="1159"/>
    <x v="1"/>
    <n v="1159"/>
    <x v="2"/>
    <s v="Opex"/>
    <x v="6"/>
    <x v="16"/>
    <x v="2"/>
    <n v="1000"/>
  </r>
  <r>
    <n v="1159"/>
    <x v="1"/>
    <n v="1159"/>
    <x v="2"/>
    <s v="Opex"/>
    <x v="3"/>
    <x v="9"/>
    <x v="2"/>
    <n v="1000"/>
  </r>
  <r>
    <n v="1159"/>
    <x v="1"/>
    <n v="1159"/>
    <x v="2"/>
    <s v="Opex"/>
    <x v="7"/>
    <x v="17"/>
    <x v="2"/>
    <n v="2402.321625"/>
  </r>
  <r>
    <n v="1159"/>
    <x v="1"/>
    <n v="1159"/>
    <x v="2"/>
    <s v="Opex"/>
    <x v="7"/>
    <x v="18"/>
    <x v="2"/>
    <n v="6544.64"/>
  </r>
  <r>
    <n v="1159"/>
    <x v="1"/>
    <n v="1159"/>
    <x v="2"/>
    <s v="Opex"/>
    <x v="7"/>
    <x v="19"/>
    <x v="2"/>
    <m/>
  </r>
  <r>
    <n v="1159"/>
    <x v="1"/>
    <n v="1159"/>
    <x v="2"/>
    <s v="Opex"/>
    <x v="5"/>
    <x v="20"/>
    <x v="2"/>
    <n v="6000"/>
  </r>
  <r>
    <n v="1159"/>
    <x v="1"/>
    <n v="1159"/>
    <x v="2"/>
    <s v="Opex"/>
    <x v="5"/>
    <x v="21"/>
    <x v="2"/>
    <n v="5500"/>
  </r>
  <r>
    <n v="1159"/>
    <x v="1"/>
    <n v="1159"/>
    <x v="2"/>
    <s v="Opex"/>
    <x v="7"/>
    <x v="22"/>
    <x v="2"/>
    <n v="891.80850000000021"/>
  </r>
  <r>
    <n v="1159"/>
    <x v="1"/>
    <n v="1159"/>
    <x v="2"/>
    <s v="Opex"/>
    <x v="5"/>
    <x v="23"/>
    <x v="2"/>
    <n v="1000"/>
  </r>
  <r>
    <n v="1159"/>
    <x v="1"/>
    <n v="1159"/>
    <x v="2"/>
    <s v="Opex"/>
    <x v="5"/>
    <x v="11"/>
    <x v="2"/>
    <n v="600"/>
  </r>
  <r>
    <n v="1159"/>
    <x v="1"/>
    <n v="1160"/>
    <x v="3"/>
    <s v="Opex"/>
    <x v="1"/>
    <x v="3"/>
    <x v="2"/>
    <n v="137.5"/>
  </r>
  <r>
    <n v="1159"/>
    <x v="1"/>
    <n v="1160"/>
    <x v="3"/>
    <s v="Opex"/>
    <x v="2"/>
    <x v="4"/>
    <x v="2"/>
    <n v="25000"/>
  </r>
  <r>
    <n v="1159"/>
    <x v="1"/>
    <n v="1160"/>
    <x v="3"/>
    <s v="Opex"/>
    <x v="3"/>
    <x v="7"/>
    <x v="2"/>
    <n v="10000"/>
  </r>
  <r>
    <n v="1159"/>
    <x v="1"/>
    <n v="1160"/>
    <x v="3"/>
    <s v="Opex"/>
    <x v="3"/>
    <x v="6"/>
    <x v="2"/>
    <n v="7000"/>
  </r>
  <r>
    <n v="1159"/>
    <x v="1"/>
    <n v="1160"/>
    <x v="3"/>
    <s v="Opex"/>
    <x v="3"/>
    <x v="9"/>
    <x v="2"/>
    <n v="5000"/>
  </r>
  <r>
    <n v="1159"/>
    <x v="1"/>
    <n v="1160"/>
    <x v="3"/>
    <s v="Opex"/>
    <x v="4"/>
    <x v="10"/>
    <x v="2"/>
    <n v="21000"/>
  </r>
  <r>
    <n v="1159"/>
    <x v="1"/>
    <n v="1160"/>
    <x v="3"/>
    <s v="Opex"/>
    <x v="5"/>
    <x v="11"/>
    <x v="2"/>
    <n v="300"/>
  </r>
  <r>
    <n v="1159"/>
    <x v="1"/>
    <n v="1150"/>
    <x v="1"/>
    <s v="Opex"/>
    <x v="8"/>
    <x v="24"/>
    <x v="2"/>
    <n v="2065.9478260000001"/>
  </r>
  <r>
    <n v="1159"/>
    <x v="1"/>
    <n v="1150"/>
    <x v="1"/>
    <s v="Opex"/>
    <x v="8"/>
    <x v="25"/>
    <x v="2"/>
    <n v="6190.4120109999985"/>
  </r>
  <r>
    <n v="1159"/>
    <x v="1"/>
    <n v="1150"/>
    <x v="1"/>
    <s v="Opex"/>
    <x v="8"/>
    <x v="26"/>
    <x v="2"/>
    <n v="0"/>
  </r>
  <r>
    <n v="1159"/>
    <x v="1"/>
    <n v="1150"/>
    <x v="1"/>
    <s v="Opex"/>
    <x v="8"/>
    <x v="27"/>
    <x v="2"/>
    <n v="9380.2799999999988"/>
  </r>
  <r>
    <n v="1159"/>
    <x v="1"/>
    <n v="1150"/>
    <x v="1"/>
    <s v="Opex"/>
    <x v="8"/>
    <x v="28"/>
    <x v="2"/>
    <n v="375.18000000000006"/>
  </r>
  <r>
    <n v="1159"/>
    <x v="1"/>
    <n v="1150"/>
    <x v="1"/>
    <s v="Opex"/>
    <x v="8"/>
    <x v="29"/>
    <x v="2"/>
    <n v="0"/>
  </r>
  <r>
    <n v="1159"/>
    <x v="1"/>
    <n v="1150"/>
    <x v="1"/>
    <s v="Opex"/>
    <x v="8"/>
    <x v="30"/>
    <x v="2"/>
    <n v="0"/>
  </r>
  <r>
    <n v="1159"/>
    <x v="1"/>
    <n v="1150"/>
    <x v="1"/>
    <s v="Opex"/>
    <x v="8"/>
    <x v="31"/>
    <x v="2"/>
    <n v="5945.1736000000001"/>
  </r>
  <r>
    <n v="1159"/>
    <x v="1"/>
    <n v="1150"/>
    <x v="1"/>
    <s v="Opex"/>
    <x v="8"/>
    <x v="32"/>
    <x v="2"/>
    <n v="165.27582608"/>
  </r>
  <r>
    <n v="1159"/>
    <x v="1"/>
    <n v="1150"/>
    <x v="1"/>
    <s v="Opex"/>
    <x v="8"/>
    <x v="33"/>
    <x v="2"/>
    <n v="495.23296088000006"/>
  </r>
  <r>
    <n v="1159"/>
    <x v="1"/>
    <n v="1150"/>
    <x v="1"/>
    <s v="Opex"/>
    <x v="8"/>
    <x v="34"/>
    <x v="2"/>
    <n v="6539.6909600000008"/>
  </r>
  <r>
    <n v="1159"/>
    <x v="1"/>
    <n v="1150"/>
    <x v="1"/>
    <s v="Opex"/>
    <x v="8"/>
    <x v="35"/>
    <x v="2"/>
    <n v="181.80340868800002"/>
  </r>
  <r>
    <n v="1159"/>
    <x v="1"/>
    <n v="1150"/>
    <x v="1"/>
    <s v="Opex"/>
    <x v="8"/>
    <x v="36"/>
    <x v="2"/>
    <n v="206.5947826"/>
  </r>
  <r>
    <n v="1159"/>
    <x v="1"/>
    <n v="1150"/>
    <x v="1"/>
    <s v="Opex"/>
    <x v="8"/>
    <x v="37"/>
    <x v="2"/>
    <n v="544.756256968"/>
  </r>
  <r>
    <n v="1159"/>
    <x v="1"/>
    <n v="1150"/>
    <x v="1"/>
    <s v="Opex"/>
    <x v="8"/>
    <x v="38"/>
    <x v="2"/>
    <n v="619.04120110000008"/>
  </r>
  <r>
    <n v="1159"/>
    <x v="1"/>
    <n v="1150"/>
    <x v="1"/>
    <s v="Opex"/>
    <x v="8"/>
    <x v="39"/>
    <x v="2"/>
    <n v="7431.4670000000006"/>
  </r>
  <r>
    <n v="1159"/>
    <x v="1"/>
    <n v="1150"/>
    <x v="1"/>
    <s v="Opex"/>
    <x v="8"/>
    <x v="40"/>
    <x v="2"/>
    <n v="72484.428199999995"/>
  </r>
  <r>
    <n v="1159"/>
    <x v="1"/>
    <n v="1150"/>
    <x v="1"/>
    <s v="Opex"/>
    <x v="8"/>
    <x v="41"/>
    <x v="2"/>
    <n v="210.24000000000004"/>
  </r>
  <r>
    <n v="1159"/>
    <x v="1"/>
    <n v="1150"/>
    <x v="1"/>
    <s v="Opex"/>
    <x v="8"/>
    <x v="42"/>
    <x v="2"/>
    <n v="9975"/>
  </r>
  <r>
    <n v="1159"/>
    <x v="1"/>
    <n v="1150"/>
    <x v="1"/>
    <s v="Opex"/>
    <x v="8"/>
    <x v="43"/>
    <x v="2"/>
    <n v="753.48"/>
  </r>
  <r>
    <n v="1159"/>
    <x v="1"/>
    <n v="1159"/>
    <x v="2"/>
    <s v="Opex"/>
    <x v="8"/>
    <x v="24"/>
    <x v="2"/>
    <n v="1658.8415679999998"/>
  </r>
  <r>
    <n v="1159"/>
    <x v="1"/>
    <n v="1159"/>
    <x v="2"/>
    <s v="Opex"/>
    <x v="8"/>
    <x v="25"/>
    <x v="2"/>
    <n v="4970.557648"/>
  </r>
  <r>
    <n v="1159"/>
    <x v="1"/>
    <n v="1159"/>
    <x v="2"/>
    <s v="Opex"/>
    <x v="8"/>
    <x v="26"/>
    <x v="2"/>
    <n v="0"/>
  </r>
  <r>
    <n v="1159"/>
    <x v="1"/>
    <n v="1159"/>
    <x v="2"/>
    <s v="Opex"/>
    <x v="8"/>
    <x v="27"/>
    <x v="2"/>
    <n v="2612.88"/>
  </r>
  <r>
    <n v="1159"/>
    <x v="1"/>
    <n v="1159"/>
    <x v="2"/>
    <s v="Opex"/>
    <x v="8"/>
    <x v="28"/>
    <x v="2"/>
    <n v="86.58"/>
  </r>
  <r>
    <n v="1159"/>
    <x v="1"/>
    <n v="1159"/>
    <x v="2"/>
    <s v="Opex"/>
    <x v="8"/>
    <x v="29"/>
    <x v="2"/>
    <n v="0"/>
  </r>
  <r>
    <n v="1159"/>
    <x v="1"/>
    <n v="1159"/>
    <x v="2"/>
    <s v="Opex"/>
    <x v="8"/>
    <x v="30"/>
    <x v="2"/>
    <m/>
  </r>
  <r>
    <n v="1159"/>
    <x v="1"/>
    <n v="1159"/>
    <x v="2"/>
    <s v="Opex"/>
    <x v="8"/>
    <x v="31"/>
    <x v="2"/>
    <n v="4773.6448"/>
  </r>
  <r>
    <n v="1159"/>
    <x v="1"/>
    <n v="1159"/>
    <x v="2"/>
    <s v="Opex"/>
    <x v="8"/>
    <x v="32"/>
    <x v="2"/>
    <n v="132.70732544000001"/>
  </r>
  <r>
    <n v="1159"/>
    <x v="1"/>
    <n v="1159"/>
    <x v="2"/>
    <s v="Opex"/>
    <x v="8"/>
    <x v="33"/>
    <x v="2"/>
    <n v="397.64461183999998"/>
  </r>
  <r>
    <n v="1159"/>
    <x v="1"/>
    <n v="1159"/>
    <x v="2"/>
    <s v="Opex"/>
    <x v="8"/>
    <x v="34"/>
    <x v="2"/>
    <n v="5251.0092800000011"/>
  </r>
  <r>
    <n v="1159"/>
    <x v="1"/>
    <n v="1159"/>
    <x v="2"/>
    <s v="Opex"/>
    <x v="8"/>
    <x v="35"/>
    <x v="2"/>
    <n v="145.97805798400003"/>
  </r>
  <r>
    <n v="1159"/>
    <x v="1"/>
    <n v="1159"/>
    <x v="2"/>
    <s v="Opex"/>
    <x v="8"/>
    <x v="36"/>
    <x v="2"/>
    <n v="165.8841568"/>
  </r>
  <r>
    <n v="1159"/>
    <x v="1"/>
    <n v="1159"/>
    <x v="2"/>
    <s v="Opex"/>
    <x v="8"/>
    <x v="37"/>
    <x v="2"/>
    <n v="437.40907302400007"/>
  </r>
  <r>
    <n v="1159"/>
    <x v="1"/>
    <n v="1159"/>
    <x v="2"/>
    <s v="Opex"/>
    <x v="8"/>
    <x v="38"/>
    <x v="2"/>
    <n v="497.05576480000002"/>
  </r>
  <r>
    <n v="1159"/>
    <x v="1"/>
    <n v="1159"/>
    <x v="2"/>
    <s v="Opex"/>
    <x v="8"/>
    <x v="39"/>
    <x v="2"/>
    <n v="5967.0560000000005"/>
  </r>
  <r>
    <n v="1159"/>
    <x v="1"/>
    <n v="1159"/>
    <x v="2"/>
    <s v="Opex"/>
    <x v="8"/>
    <x v="40"/>
    <x v="2"/>
    <n v="59023.16"/>
  </r>
  <r>
    <n v="1159"/>
    <x v="1"/>
    <n v="1159"/>
    <x v="2"/>
    <s v="Opex"/>
    <x v="8"/>
    <x v="41"/>
    <x v="2"/>
    <n v="52.56"/>
  </r>
  <r>
    <n v="1159"/>
    <x v="1"/>
    <n v="1159"/>
    <x v="2"/>
    <s v="Opex"/>
    <x v="8"/>
    <x v="42"/>
    <x v="2"/>
    <n v="2520"/>
  </r>
  <r>
    <n v="1159"/>
    <x v="1"/>
    <n v="1159"/>
    <x v="2"/>
    <s v="Opex"/>
    <x v="8"/>
    <x v="43"/>
    <x v="2"/>
    <n v="0"/>
  </r>
  <r>
    <n v="1159"/>
    <x v="1"/>
    <n v="1160"/>
    <x v="3"/>
    <s v="Opex"/>
    <x v="8"/>
    <x v="24"/>
    <x v="2"/>
    <n v="1922.2849319999996"/>
  </r>
  <r>
    <n v="1159"/>
    <x v="1"/>
    <n v="1160"/>
    <x v="3"/>
    <s v="Opex"/>
    <x v="8"/>
    <x v="25"/>
    <x v="2"/>
    <n v="5759.9401019999996"/>
  </r>
  <r>
    <n v="1159"/>
    <x v="1"/>
    <n v="1160"/>
    <x v="3"/>
    <s v="Opex"/>
    <x v="8"/>
    <x v="26"/>
    <x v="2"/>
    <n v="0"/>
  </r>
  <r>
    <n v="1159"/>
    <x v="1"/>
    <n v="1160"/>
    <x v="3"/>
    <s v="Opex"/>
    <x v="8"/>
    <x v="27"/>
    <x v="2"/>
    <n v="8293.52"/>
  </r>
  <r>
    <n v="1159"/>
    <x v="1"/>
    <n v="1160"/>
    <x v="3"/>
    <s v="Opex"/>
    <x v="8"/>
    <x v="28"/>
    <x v="2"/>
    <n v="346.32000000000011"/>
  </r>
  <r>
    <n v="1159"/>
    <x v="1"/>
    <n v="1160"/>
    <x v="3"/>
    <s v="Opex"/>
    <x v="8"/>
    <x v="29"/>
    <x v="2"/>
    <n v="0"/>
  </r>
  <r>
    <n v="1159"/>
    <x v="1"/>
    <n v="1160"/>
    <x v="3"/>
    <s v="Opex"/>
    <x v="8"/>
    <x v="30"/>
    <x v="2"/>
    <m/>
  </r>
  <r>
    <n v="1159"/>
    <x v="1"/>
    <n v="1160"/>
    <x v="3"/>
    <s v="Opex"/>
    <x v="8"/>
    <x v="31"/>
    <x v="2"/>
    <n v="5531.7551999999996"/>
  </r>
  <r>
    <n v="1159"/>
    <x v="1"/>
    <n v="1160"/>
    <x v="3"/>
    <s v="Opex"/>
    <x v="8"/>
    <x v="32"/>
    <x v="2"/>
    <n v="153.78279455999999"/>
  </r>
  <r>
    <n v="1159"/>
    <x v="1"/>
    <n v="1160"/>
    <x v="3"/>
    <s v="Opex"/>
    <x v="8"/>
    <x v="33"/>
    <x v="2"/>
    <n v="460.79520816000002"/>
  </r>
  <r>
    <n v="1159"/>
    <x v="1"/>
    <n v="1160"/>
    <x v="3"/>
    <s v="Opex"/>
    <x v="8"/>
    <x v="34"/>
    <x v="2"/>
    <n v="6084.9307200000003"/>
  </r>
  <r>
    <n v="1159"/>
    <x v="1"/>
    <n v="1160"/>
    <x v="3"/>
    <s v="Opex"/>
    <x v="8"/>
    <x v="35"/>
    <x v="2"/>
    <n v="169.16107401600001"/>
  </r>
  <r>
    <n v="1159"/>
    <x v="1"/>
    <n v="1160"/>
    <x v="3"/>
    <s v="Opex"/>
    <x v="8"/>
    <x v="36"/>
    <x v="2"/>
    <n v="192.22849319999997"/>
  </r>
  <r>
    <n v="1159"/>
    <x v="1"/>
    <n v="1160"/>
    <x v="3"/>
    <s v="Opex"/>
    <x v="8"/>
    <x v="37"/>
    <x v="2"/>
    <n v="506.87472897600003"/>
  </r>
  <r>
    <n v="1159"/>
    <x v="1"/>
    <n v="1160"/>
    <x v="3"/>
    <s v="Opex"/>
    <x v="8"/>
    <x v="38"/>
    <x v="2"/>
    <n v="575.99401019999993"/>
  </r>
  <r>
    <n v="1159"/>
    <x v="1"/>
    <n v="1160"/>
    <x v="3"/>
    <s v="Opex"/>
    <x v="8"/>
    <x v="39"/>
    <x v="2"/>
    <n v="6914.6939999999995"/>
  </r>
  <r>
    <n v="1159"/>
    <x v="1"/>
    <n v="1160"/>
    <x v="3"/>
    <s v="Opex"/>
    <x v="8"/>
    <x v="40"/>
    <x v="2"/>
    <n v="67636.28"/>
  </r>
  <r>
    <n v="1159"/>
    <x v="1"/>
    <n v="1160"/>
    <x v="3"/>
    <s v="Opex"/>
    <x v="8"/>
    <x v="41"/>
    <x v="2"/>
    <n v="192.72000000000003"/>
  </r>
  <r>
    <n v="1159"/>
    <x v="1"/>
    <n v="1160"/>
    <x v="3"/>
    <s v="Opex"/>
    <x v="8"/>
    <x v="42"/>
    <x v="2"/>
    <n v="9240"/>
  </r>
  <r>
    <n v="1159"/>
    <x v="1"/>
    <n v="1160"/>
    <x v="3"/>
    <s v="Opex"/>
    <x v="8"/>
    <x v="43"/>
    <x v="2"/>
    <n v="514.08000000000004"/>
  </r>
  <r>
    <n v="1000"/>
    <x v="0"/>
    <n v="1003"/>
    <x v="0"/>
    <s v="Opex"/>
    <x v="0"/>
    <x v="0"/>
    <x v="3"/>
    <n v="20000"/>
  </r>
  <r>
    <n v="1000"/>
    <x v="0"/>
    <n v="1003"/>
    <x v="0"/>
    <s v="Opex"/>
    <x v="0"/>
    <x v="1"/>
    <x v="3"/>
    <n v="600"/>
  </r>
  <r>
    <n v="1000"/>
    <x v="0"/>
    <n v="1003"/>
    <x v="0"/>
    <s v="Opex"/>
    <x v="0"/>
    <x v="2"/>
    <x v="3"/>
    <n v="10000"/>
  </r>
  <r>
    <n v="1159"/>
    <x v="1"/>
    <n v="1150"/>
    <x v="1"/>
    <s v="Opex"/>
    <x v="1"/>
    <x v="3"/>
    <x v="3"/>
    <n v="200"/>
  </r>
  <r>
    <n v="1159"/>
    <x v="1"/>
    <n v="1150"/>
    <x v="1"/>
    <s v="Opex"/>
    <x v="2"/>
    <x v="4"/>
    <x v="3"/>
    <n v="5000"/>
  </r>
  <r>
    <n v="1159"/>
    <x v="1"/>
    <n v="1150"/>
    <x v="1"/>
    <s v="Opex"/>
    <x v="2"/>
    <x v="5"/>
    <x v="3"/>
    <n v="3023.6305000000002"/>
  </r>
  <r>
    <n v="1159"/>
    <x v="1"/>
    <n v="1150"/>
    <x v="1"/>
    <s v="Opex"/>
    <x v="3"/>
    <x v="6"/>
    <x v="3"/>
    <n v="140000"/>
  </r>
  <r>
    <n v="1159"/>
    <x v="1"/>
    <n v="1150"/>
    <x v="1"/>
    <s v="Opex"/>
    <x v="3"/>
    <x v="7"/>
    <x v="3"/>
    <n v="100000"/>
  </r>
  <r>
    <n v="1159"/>
    <x v="1"/>
    <n v="1150"/>
    <x v="1"/>
    <s v="Opex"/>
    <x v="3"/>
    <x v="8"/>
    <x v="3"/>
    <n v="10000"/>
  </r>
  <r>
    <n v="1159"/>
    <x v="1"/>
    <n v="1150"/>
    <x v="1"/>
    <s v="Opex"/>
    <x v="3"/>
    <x v="9"/>
    <x v="3"/>
    <n v="24671.843625000001"/>
  </r>
  <r>
    <n v="1159"/>
    <x v="1"/>
    <n v="1150"/>
    <x v="1"/>
    <s v="Opex"/>
    <x v="4"/>
    <x v="10"/>
    <x v="3"/>
    <n v="5000"/>
  </r>
  <r>
    <n v="1159"/>
    <x v="1"/>
    <n v="1150"/>
    <x v="1"/>
    <s v="Opex"/>
    <x v="5"/>
    <x v="11"/>
    <x v="3"/>
    <n v="1000"/>
  </r>
  <r>
    <n v="1159"/>
    <x v="1"/>
    <n v="1150"/>
    <x v="1"/>
    <s v="Opex"/>
    <x v="1"/>
    <x v="12"/>
    <x v="3"/>
    <n v="120"/>
  </r>
  <r>
    <n v="1159"/>
    <x v="1"/>
    <n v="1150"/>
    <x v="1"/>
    <s v="Opex"/>
    <x v="4"/>
    <x v="13"/>
    <x v="3"/>
    <m/>
  </r>
  <r>
    <n v="1159"/>
    <x v="1"/>
    <n v="1150"/>
    <x v="1"/>
    <s v="Opex"/>
    <x v="4"/>
    <x v="14"/>
    <x v="3"/>
    <m/>
  </r>
  <r>
    <n v="1159"/>
    <x v="1"/>
    <n v="1150"/>
    <x v="1"/>
    <s v="Opex"/>
    <x v="4"/>
    <x v="15"/>
    <x v="3"/>
    <n v="0"/>
  </r>
  <r>
    <n v="1159"/>
    <x v="1"/>
    <n v="1150"/>
    <x v="1"/>
    <s v="Opex"/>
    <x v="3"/>
    <x v="9"/>
    <x v="3"/>
    <n v="5000"/>
  </r>
  <r>
    <n v="1159"/>
    <x v="1"/>
    <n v="1159"/>
    <x v="2"/>
    <s v="Opex"/>
    <x v="1"/>
    <x v="3"/>
    <x v="3"/>
    <n v="37.5"/>
  </r>
  <r>
    <n v="1159"/>
    <x v="1"/>
    <n v="1159"/>
    <x v="2"/>
    <s v="Opex"/>
    <x v="6"/>
    <x v="16"/>
    <x v="3"/>
    <n v="524.68212500000004"/>
  </r>
  <r>
    <n v="1159"/>
    <x v="1"/>
    <n v="1159"/>
    <x v="2"/>
    <s v="Opex"/>
    <x v="3"/>
    <x v="9"/>
    <x v="3"/>
    <n v="2000"/>
  </r>
  <r>
    <n v="1159"/>
    <x v="1"/>
    <n v="1159"/>
    <x v="2"/>
    <s v="Opex"/>
    <x v="7"/>
    <x v="17"/>
    <x v="3"/>
    <n v="2402.321625"/>
  </r>
  <r>
    <n v="1159"/>
    <x v="1"/>
    <n v="1159"/>
    <x v="2"/>
    <s v="Opex"/>
    <x v="7"/>
    <x v="18"/>
    <x v="3"/>
    <n v="6544.64"/>
  </r>
  <r>
    <n v="1159"/>
    <x v="1"/>
    <n v="1159"/>
    <x v="2"/>
    <s v="Opex"/>
    <x v="7"/>
    <x v="19"/>
    <x v="3"/>
    <m/>
  </r>
  <r>
    <n v="1159"/>
    <x v="1"/>
    <n v="1159"/>
    <x v="2"/>
    <s v="Opex"/>
    <x v="5"/>
    <x v="20"/>
    <x v="3"/>
    <n v="4940.6046249999999"/>
  </r>
  <r>
    <n v="1159"/>
    <x v="1"/>
    <n v="1159"/>
    <x v="2"/>
    <s v="Opex"/>
    <x v="5"/>
    <x v="21"/>
    <x v="3"/>
    <n v="6000"/>
  </r>
  <r>
    <n v="1159"/>
    <x v="1"/>
    <n v="1159"/>
    <x v="2"/>
    <s v="Opex"/>
    <x v="7"/>
    <x v="22"/>
    <x v="3"/>
    <n v="1000"/>
  </r>
  <r>
    <n v="1159"/>
    <x v="1"/>
    <n v="1159"/>
    <x v="2"/>
    <s v="Opex"/>
    <x v="5"/>
    <x v="23"/>
    <x v="3"/>
    <n v="725.81024999999988"/>
  </r>
  <r>
    <n v="1159"/>
    <x v="1"/>
    <n v="1159"/>
    <x v="2"/>
    <s v="Opex"/>
    <x v="5"/>
    <x v="11"/>
    <x v="3"/>
    <n v="600"/>
  </r>
  <r>
    <n v="1159"/>
    <x v="1"/>
    <n v="1160"/>
    <x v="3"/>
    <s v="Opex"/>
    <x v="1"/>
    <x v="3"/>
    <x v="3"/>
    <n v="137.5"/>
  </r>
  <r>
    <n v="1159"/>
    <x v="1"/>
    <n v="1160"/>
    <x v="3"/>
    <s v="Opex"/>
    <x v="2"/>
    <x v="4"/>
    <x v="3"/>
    <n v="30000"/>
  </r>
  <r>
    <n v="1159"/>
    <x v="1"/>
    <n v="1160"/>
    <x v="3"/>
    <s v="Opex"/>
    <x v="3"/>
    <x v="7"/>
    <x v="3"/>
    <n v="10000"/>
  </r>
  <r>
    <n v="1159"/>
    <x v="1"/>
    <n v="1160"/>
    <x v="3"/>
    <s v="Opex"/>
    <x v="3"/>
    <x v="6"/>
    <x v="3"/>
    <n v="7000"/>
  </r>
  <r>
    <n v="1159"/>
    <x v="1"/>
    <n v="1160"/>
    <x v="3"/>
    <s v="Opex"/>
    <x v="3"/>
    <x v="9"/>
    <x v="3"/>
    <n v="5000"/>
  </r>
  <r>
    <n v="1159"/>
    <x v="1"/>
    <n v="1160"/>
    <x v="3"/>
    <s v="Opex"/>
    <x v="4"/>
    <x v="10"/>
    <x v="3"/>
    <n v="21000"/>
  </r>
  <r>
    <n v="1159"/>
    <x v="1"/>
    <n v="1160"/>
    <x v="3"/>
    <s v="Opex"/>
    <x v="5"/>
    <x v="11"/>
    <x v="3"/>
    <n v="300"/>
  </r>
  <r>
    <n v="1159"/>
    <x v="1"/>
    <n v="1150"/>
    <x v="1"/>
    <s v="Opex"/>
    <x v="8"/>
    <x v="24"/>
    <x v="3"/>
    <n v="2065.9478260000001"/>
  </r>
  <r>
    <n v="1159"/>
    <x v="1"/>
    <n v="1150"/>
    <x v="1"/>
    <s v="Opex"/>
    <x v="8"/>
    <x v="25"/>
    <x v="3"/>
    <n v="6190.4120109999985"/>
  </r>
  <r>
    <n v="1159"/>
    <x v="1"/>
    <n v="1150"/>
    <x v="1"/>
    <s v="Opex"/>
    <x v="8"/>
    <x v="26"/>
    <x v="3"/>
    <n v="0"/>
  </r>
  <r>
    <n v="1159"/>
    <x v="1"/>
    <n v="1150"/>
    <x v="1"/>
    <s v="Opex"/>
    <x v="8"/>
    <x v="27"/>
    <x v="3"/>
    <n v="9380.2799999999988"/>
  </r>
  <r>
    <n v="1159"/>
    <x v="1"/>
    <n v="1150"/>
    <x v="1"/>
    <s v="Opex"/>
    <x v="8"/>
    <x v="28"/>
    <x v="3"/>
    <n v="375.18000000000006"/>
  </r>
  <r>
    <n v="1159"/>
    <x v="1"/>
    <n v="1150"/>
    <x v="1"/>
    <s v="Opex"/>
    <x v="8"/>
    <x v="29"/>
    <x v="3"/>
    <n v="0"/>
  </r>
  <r>
    <n v="1159"/>
    <x v="1"/>
    <n v="1150"/>
    <x v="1"/>
    <s v="Opex"/>
    <x v="8"/>
    <x v="30"/>
    <x v="3"/>
    <n v="15121.663411111111"/>
  </r>
  <r>
    <n v="1159"/>
    <x v="1"/>
    <n v="1150"/>
    <x v="1"/>
    <s v="Opex"/>
    <x v="8"/>
    <x v="31"/>
    <x v="3"/>
    <n v="5945.1736000000001"/>
  </r>
  <r>
    <n v="1159"/>
    <x v="1"/>
    <n v="1150"/>
    <x v="1"/>
    <s v="Opex"/>
    <x v="8"/>
    <x v="32"/>
    <x v="3"/>
    <n v="165.27582608"/>
  </r>
  <r>
    <n v="1159"/>
    <x v="1"/>
    <n v="1150"/>
    <x v="1"/>
    <s v="Opex"/>
    <x v="8"/>
    <x v="33"/>
    <x v="3"/>
    <n v="495.23296088000006"/>
  </r>
  <r>
    <n v="1159"/>
    <x v="1"/>
    <n v="1150"/>
    <x v="1"/>
    <s v="Opex"/>
    <x v="8"/>
    <x v="34"/>
    <x v="3"/>
    <n v="6539.6909600000008"/>
  </r>
  <r>
    <n v="1159"/>
    <x v="1"/>
    <n v="1150"/>
    <x v="1"/>
    <s v="Opex"/>
    <x v="8"/>
    <x v="35"/>
    <x v="3"/>
    <n v="181.80340868800002"/>
  </r>
  <r>
    <n v="1159"/>
    <x v="1"/>
    <n v="1150"/>
    <x v="1"/>
    <s v="Opex"/>
    <x v="8"/>
    <x v="36"/>
    <x v="3"/>
    <n v="206.5947826"/>
  </r>
  <r>
    <n v="1159"/>
    <x v="1"/>
    <n v="1150"/>
    <x v="1"/>
    <s v="Opex"/>
    <x v="8"/>
    <x v="37"/>
    <x v="3"/>
    <n v="544.756256968"/>
  </r>
  <r>
    <n v="1159"/>
    <x v="1"/>
    <n v="1150"/>
    <x v="1"/>
    <s v="Opex"/>
    <x v="8"/>
    <x v="38"/>
    <x v="3"/>
    <n v="619.04120110000008"/>
  </r>
  <r>
    <n v="1159"/>
    <x v="1"/>
    <n v="1150"/>
    <x v="1"/>
    <s v="Opex"/>
    <x v="8"/>
    <x v="39"/>
    <x v="3"/>
    <n v="7431.4670000000006"/>
  </r>
  <r>
    <n v="1159"/>
    <x v="1"/>
    <n v="1150"/>
    <x v="1"/>
    <s v="Opex"/>
    <x v="8"/>
    <x v="40"/>
    <x v="3"/>
    <n v="72484.428199999995"/>
  </r>
  <r>
    <n v="1159"/>
    <x v="1"/>
    <n v="1150"/>
    <x v="1"/>
    <s v="Opex"/>
    <x v="8"/>
    <x v="41"/>
    <x v="3"/>
    <n v="210.24000000000004"/>
  </r>
  <r>
    <n v="1159"/>
    <x v="1"/>
    <n v="1150"/>
    <x v="1"/>
    <s v="Opex"/>
    <x v="8"/>
    <x v="42"/>
    <x v="3"/>
    <n v="9975"/>
  </r>
  <r>
    <n v="1159"/>
    <x v="1"/>
    <n v="1150"/>
    <x v="1"/>
    <s v="Opex"/>
    <x v="8"/>
    <x v="43"/>
    <x v="3"/>
    <n v="753.48"/>
  </r>
  <r>
    <n v="1159"/>
    <x v="1"/>
    <n v="1159"/>
    <x v="2"/>
    <s v="Opex"/>
    <x v="8"/>
    <x v="24"/>
    <x v="3"/>
    <n v="1658.8415679999998"/>
  </r>
  <r>
    <n v="1159"/>
    <x v="1"/>
    <n v="1159"/>
    <x v="2"/>
    <s v="Opex"/>
    <x v="8"/>
    <x v="25"/>
    <x v="3"/>
    <n v="4970.557648"/>
  </r>
  <r>
    <n v="1159"/>
    <x v="1"/>
    <n v="1159"/>
    <x v="2"/>
    <s v="Opex"/>
    <x v="8"/>
    <x v="26"/>
    <x v="3"/>
    <n v="0"/>
  </r>
  <r>
    <n v="1159"/>
    <x v="1"/>
    <n v="1159"/>
    <x v="2"/>
    <s v="Opex"/>
    <x v="8"/>
    <x v="27"/>
    <x v="3"/>
    <n v="2612.88"/>
  </r>
  <r>
    <n v="1159"/>
    <x v="1"/>
    <n v="1159"/>
    <x v="2"/>
    <s v="Opex"/>
    <x v="8"/>
    <x v="28"/>
    <x v="3"/>
    <n v="86.58"/>
  </r>
  <r>
    <n v="1159"/>
    <x v="1"/>
    <n v="1159"/>
    <x v="2"/>
    <s v="Opex"/>
    <x v="8"/>
    <x v="29"/>
    <x v="3"/>
    <n v="0"/>
  </r>
  <r>
    <n v="1159"/>
    <x v="1"/>
    <n v="1159"/>
    <x v="2"/>
    <s v="Opex"/>
    <x v="8"/>
    <x v="30"/>
    <x v="3"/>
    <n v="36495.199999999997"/>
  </r>
  <r>
    <n v="1159"/>
    <x v="1"/>
    <n v="1159"/>
    <x v="2"/>
    <s v="Opex"/>
    <x v="8"/>
    <x v="31"/>
    <x v="3"/>
    <n v="4773.6448"/>
  </r>
  <r>
    <n v="1159"/>
    <x v="1"/>
    <n v="1159"/>
    <x v="2"/>
    <s v="Opex"/>
    <x v="8"/>
    <x v="32"/>
    <x v="3"/>
    <n v="132.70732544000001"/>
  </r>
  <r>
    <n v="1159"/>
    <x v="1"/>
    <n v="1159"/>
    <x v="2"/>
    <s v="Opex"/>
    <x v="8"/>
    <x v="33"/>
    <x v="3"/>
    <n v="397.64461183999998"/>
  </r>
  <r>
    <n v="1159"/>
    <x v="1"/>
    <n v="1159"/>
    <x v="2"/>
    <s v="Opex"/>
    <x v="8"/>
    <x v="34"/>
    <x v="3"/>
    <n v="5251.0092800000011"/>
  </r>
  <r>
    <n v="1159"/>
    <x v="1"/>
    <n v="1159"/>
    <x v="2"/>
    <s v="Opex"/>
    <x v="8"/>
    <x v="35"/>
    <x v="3"/>
    <n v="145.97805798400003"/>
  </r>
  <r>
    <n v="1159"/>
    <x v="1"/>
    <n v="1159"/>
    <x v="2"/>
    <s v="Opex"/>
    <x v="8"/>
    <x v="36"/>
    <x v="3"/>
    <n v="165.8841568"/>
  </r>
  <r>
    <n v="1159"/>
    <x v="1"/>
    <n v="1159"/>
    <x v="2"/>
    <s v="Opex"/>
    <x v="8"/>
    <x v="37"/>
    <x v="3"/>
    <n v="437.40907302400007"/>
  </r>
  <r>
    <n v="1159"/>
    <x v="1"/>
    <n v="1159"/>
    <x v="2"/>
    <s v="Opex"/>
    <x v="8"/>
    <x v="38"/>
    <x v="3"/>
    <n v="497.05576480000002"/>
  </r>
  <r>
    <n v="1159"/>
    <x v="1"/>
    <n v="1159"/>
    <x v="2"/>
    <s v="Opex"/>
    <x v="8"/>
    <x v="39"/>
    <x v="3"/>
    <n v="5967.0560000000005"/>
  </r>
  <r>
    <n v="1159"/>
    <x v="1"/>
    <n v="1159"/>
    <x v="2"/>
    <s v="Opex"/>
    <x v="8"/>
    <x v="40"/>
    <x v="3"/>
    <n v="59023.16"/>
  </r>
  <r>
    <n v="1159"/>
    <x v="1"/>
    <n v="1159"/>
    <x v="2"/>
    <s v="Opex"/>
    <x v="8"/>
    <x v="41"/>
    <x v="3"/>
    <n v="52.56"/>
  </r>
  <r>
    <n v="1159"/>
    <x v="1"/>
    <n v="1159"/>
    <x v="2"/>
    <s v="Opex"/>
    <x v="8"/>
    <x v="42"/>
    <x v="3"/>
    <n v="2520"/>
  </r>
  <r>
    <n v="1159"/>
    <x v="1"/>
    <n v="1159"/>
    <x v="2"/>
    <s v="Opex"/>
    <x v="8"/>
    <x v="43"/>
    <x v="3"/>
    <n v="0"/>
  </r>
  <r>
    <n v="1159"/>
    <x v="1"/>
    <n v="1160"/>
    <x v="3"/>
    <s v="Opex"/>
    <x v="8"/>
    <x v="24"/>
    <x v="3"/>
    <n v="1922.2849319999996"/>
  </r>
  <r>
    <n v="1159"/>
    <x v="1"/>
    <n v="1160"/>
    <x v="3"/>
    <s v="Opex"/>
    <x v="8"/>
    <x v="25"/>
    <x v="3"/>
    <n v="5759.9401019999996"/>
  </r>
  <r>
    <n v="1159"/>
    <x v="1"/>
    <n v="1160"/>
    <x v="3"/>
    <s v="Opex"/>
    <x v="8"/>
    <x v="26"/>
    <x v="3"/>
    <n v="0"/>
  </r>
  <r>
    <n v="1159"/>
    <x v="1"/>
    <n v="1160"/>
    <x v="3"/>
    <s v="Opex"/>
    <x v="8"/>
    <x v="27"/>
    <x v="3"/>
    <n v="8293.52"/>
  </r>
  <r>
    <n v="1159"/>
    <x v="1"/>
    <n v="1160"/>
    <x v="3"/>
    <s v="Opex"/>
    <x v="8"/>
    <x v="28"/>
    <x v="3"/>
    <n v="346.32000000000011"/>
  </r>
  <r>
    <n v="1159"/>
    <x v="1"/>
    <n v="1160"/>
    <x v="3"/>
    <s v="Opex"/>
    <x v="8"/>
    <x v="29"/>
    <x v="3"/>
    <n v="0"/>
  </r>
  <r>
    <n v="1159"/>
    <x v="1"/>
    <n v="1160"/>
    <x v="3"/>
    <s v="Opex"/>
    <x v="8"/>
    <x v="30"/>
    <x v="3"/>
    <n v="15950.890851851849"/>
  </r>
  <r>
    <n v="1159"/>
    <x v="1"/>
    <n v="1160"/>
    <x v="3"/>
    <s v="Opex"/>
    <x v="8"/>
    <x v="31"/>
    <x v="3"/>
    <n v="5531.7551999999996"/>
  </r>
  <r>
    <n v="1159"/>
    <x v="1"/>
    <n v="1160"/>
    <x v="3"/>
    <s v="Opex"/>
    <x v="8"/>
    <x v="32"/>
    <x v="3"/>
    <n v="153.78279455999999"/>
  </r>
  <r>
    <n v="1159"/>
    <x v="1"/>
    <n v="1160"/>
    <x v="3"/>
    <s v="Opex"/>
    <x v="8"/>
    <x v="33"/>
    <x v="3"/>
    <n v="460.79520816000002"/>
  </r>
  <r>
    <n v="1159"/>
    <x v="1"/>
    <n v="1160"/>
    <x v="3"/>
    <s v="Opex"/>
    <x v="8"/>
    <x v="34"/>
    <x v="3"/>
    <n v="6084.9307200000003"/>
  </r>
  <r>
    <n v="1159"/>
    <x v="1"/>
    <n v="1160"/>
    <x v="3"/>
    <s v="Opex"/>
    <x v="8"/>
    <x v="35"/>
    <x v="3"/>
    <n v="169.16107401600001"/>
  </r>
  <r>
    <n v="1159"/>
    <x v="1"/>
    <n v="1160"/>
    <x v="3"/>
    <s v="Opex"/>
    <x v="8"/>
    <x v="36"/>
    <x v="3"/>
    <n v="192.22849319999997"/>
  </r>
  <r>
    <n v="1159"/>
    <x v="1"/>
    <n v="1160"/>
    <x v="3"/>
    <s v="Opex"/>
    <x v="8"/>
    <x v="37"/>
    <x v="3"/>
    <n v="506.87472897600003"/>
  </r>
  <r>
    <n v="1159"/>
    <x v="1"/>
    <n v="1160"/>
    <x v="3"/>
    <s v="Opex"/>
    <x v="8"/>
    <x v="38"/>
    <x v="3"/>
    <n v="575.99401019999993"/>
  </r>
  <r>
    <n v="1159"/>
    <x v="1"/>
    <n v="1160"/>
    <x v="3"/>
    <s v="Opex"/>
    <x v="8"/>
    <x v="39"/>
    <x v="3"/>
    <n v="6914.6939999999995"/>
  </r>
  <r>
    <n v="1159"/>
    <x v="1"/>
    <n v="1160"/>
    <x v="3"/>
    <s v="Opex"/>
    <x v="8"/>
    <x v="40"/>
    <x v="3"/>
    <n v="67636.28"/>
  </r>
  <r>
    <n v="1159"/>
    <x v="1"/>
    <n v="1160"/>
    <x v="3"/>
    <s v="Opex"/>
    <x v="8"/>
    <x v="41"/>
    <x v="3"/>
    <n v="192.72000000000003"/>
  </r>
  <r>
    <n v="1159"/>
    <x v="1"/>
    <n v="1160"/>
    <x v="3"/>
    <s v="Opex"/>
    <x v="8"/>
    <x v="42"/>
    <x v="3"/>
    <n v="9240"/>
  </r>
  <r>
    <n v="1159"/>
    <x v="1"/>
    <n v="1160"/>
    <x v="3"/>
    <s v="Opex"/>
    <x v="8"/>
    <x v="43"/>
    <x v="3"/>
    <n v="514.08000000000004"/>
  </r>
  <r>
    <n v="1000"/>
    <x v="0"/>
    <n v="1003"/>
    <x v="0"/>
    <s v="Opex"/>
    <x v="0"/>
    <x v="0"/>
    <x v="4"/>
    <n v="15000"/>
  </r>
  <r>
    <n v="1000"/>
    <x v="0"/>
    <n v="1003"/>
    <x v="0"/>
    <s v="Opex"/>
    <x v="0"/>
    <x v="1"/>
    <x v="4"/>
    <n v="600"/>
  </r>
  <r>
    <n v="1000"/>
    <x v="0"/>
    <n v="1003"/>
    <x v="0"/>
    <s v="Opex"/>
    <x v="0"/>
    <x v="2"/>
    <x v="4"/>
    <n v="10000"/>
  </r>
  <r>
    <n v="1159"/>
    <x v="1"/>
    <n v="1150"/>
    <x v="1"/>
    <s v="Opex"/>
    <x v="1"/>
    <x v="3"/>
    <x v="4"/>
    <n v="200"/>
  </r>
  <r>
    <n v="1159"/>
    <x v="1"/>
    <n v="1150"/>
    <x v="1"/>
    <s v="Opex"/>
    <x v="2"/>
    <x v="4"/>
    <x v="4"/>
    <n v="5000"/>
  </r>
  <r>
    <n v="1159"/>
    <x v="1"/>
    <n v="1150"/>
    <x v="1"/>
    <s v="Opex"/>
    <x v="2"/>
    <x v="5"/>
    <x v="4"/>
    <n v="3023.6305000000002"/>
  </r>
  <r>
    <n v="1159"/>
    <x v="1"/>
    <n v="1150"/>
    <x v="1"/>
    <s v="Opex"/>
    <x v="3"/>
    <x v="6"/>
    <x v="4"/>
    <n v="140000"/>
  </r>
  <r>
    <n v="1159"/>
    <x v="1"/>
    <n v="1150"/>
    <x v="1"/>
    <s v="Opex"/>
    <x v="3"/>
    <x v="7"/>
    <x v="4"/>
    <n v="100000"/>
  </r>
  <r>
    <n v="1159"/>
    <x v="1"/>
    <n v="1150"/>
    <x v="1"/>
    <s v="Opex"/>
    <x v="3"/>
    <x v="8"/>
    <x v="4"/>
    <n v="30000"/>
  </r>
  <r>
    <n v="1159"/>
    <x v="1"/>
    <n v="1150"/>
    <x v="1"/>
    <s v="Opex"/>
    <x v="3"/>
    <x v="9"/>
    <x v="4"/>
    <n v="30000"/>
  </r>
  <r>
    <n v="1159"/>
    <x v="1"/>
    <n v="1150"/>
    <x v="1"/>
    <s v="Opex"/>
    <x v="4"/>
    <x v="10"/>
    <x v="4"/>
    <n v="2500"/>
  </r>
  <r>
    <n v="1159"/>
    <x v="1"/>
    <n v="1150"/>
    <x v="1"/>
    <s v="Opex"/>
    <x v="5"/>
    <x v="11"/>
    <x v="4"/>
    <n v="74.944374999999994"/>
  </r>
  <r>
    <n v="1159"/>
    <x v="1"/>
    <n v="1150"/>
    <x v="1"/>
    <s v="Opex"/>
    <x v="1"/>
    <x v="12"/>
    <x v="4"/>
    <n v="120"/>
  </r>
  <r>
    <n v="1159"/>
    <x v="1"/>
    <n v="1150"/>
    <x v="1"/>
    <s v="Opex"/>
    <x v="4"/>
    <x v="13"/>
    <x v="4"/>
    <m/>
  </r>
  <r>
    <n v="1159"/>
    <x v="1"/>
    <n v="1150"/>
    <x v="1"/>
    <s v="Opex"/>
    <x v="4"/>
    <x v="14"/>
    <x v="4"/>
    <m/>
  </r>
  <r>
    <n v="1159"/>
    <x v="1"/>
    <n v="1150"/>
    <x v="1"/>
    <s v="Opex"/>
    <x v="4"/>
    <x v="15"/>
    <x v="4"/>
    <n v="200"/>
  </r>
  <r>
    <n v="1159"/>
    <x v="1"/>
    <n v="1150"/>
    <x v="1"/>
    <s v="Opex"/>
    <x v="3"/>
    <x v="9"/>
    <x v="4"/>
    <n v="5000"/>
  </r>
  <r>
    <n v="1159"/>
    <x v="1"/>
    <n v="1159"/>
    <x v="2"/>
    <s v="Opex"/>
    <x v="1"/>
    <x v="3"/>
    <x v="4"/>
    <n v="37.5"/>
  </r>
  <r>
    <n v="1159"/>
    <x v="1"/>
    <n v="1159"/>
    <x v="2"/>
    <s v="Opex"/>
    <x v="6"/>
    <x v="16"/>
    <x v="4"/>
    <n v="524.68212500000004"/>
  </r>
  <r>
    <n v="1159"/>
    <x v="1"/>
    <n v="1159"/>
    <x v="2"/>
    <s v="Opex"/>
    <x v="3"/>
    <x v="9"/>
    <x v="4"/>
    <n v="182.87500000000003"/>
  </r>
  <r>
    <n v="1159"/>
    <x v="1"/>
    <n v="1159"/>
    <x v="2"/>
    <s v="Opex"/>
    <x v="7"/>
    <x v="17"/>
    <x v="4"/>
    <n v="2402.321625"/>
  </r>
  <r>
    <n v="1159"/>
    <x v="1"/>
    <n v="1159"/>
    <x v="2"/>
    <s v="Opex"/>
    <x v="7"/>
    <x v="18"/>
    <x v="4"/>
    <n v="6544.64"/>
  </r>
  <r>
    <n v="1159"/>
    <x v="1"/>
    <n v="1159"/>
    <x v="2"/>
    <s v="Opex"/>
    <x v="7"/>
    <x v="19"/>
    <x v="4"/>
    <m/>
  </r>
  <r>
    <n v="1159"/>
    <x v="1"/>
    <n v="1159"/>
    <x v="2"/>
    <s v="Opex"/>
    <x v="5"/>
    <x v="20"/>
    <x v="4"/>
    <n v="4940.6046249999999"/>
  </r>
  <r>
    <n v="1159"/>
    <x v="1"/>
    <n v="1159"/>
    <x v="2"/>
    <s v="Opex"/>
    <x v="5"/>
    <x v="21"/>
    <x v="4"/>
    <n v="4381.7345000000005"/>
  </r>
  <r>
    <n v="1159"/>
    <x v="1"/>
    <n v="1159"/>
    <x v="2"/>
    <s v="Opex"/>
    <x v="7"/>
    <x v="22"/>
    <x v="4"/>
    <n v="891.80850000000021"/>
  </r>
  <r>
    <n v="1159"/>
    <x v="1"/>
    <n v="1159"/>
    <x v="2"/>
    <s v="Opex"/>
    <x v="5"/>
    <x v="23"/>
    <x v="4"/>
    <n v="725.81024999999988"/>
  </r>
  <r>
    <n v="1159"/>
    <x v="1"/>
    <n v="1159"/>
    <x v="2"/>
    <s v="Opex"/>
    <x v="5"/>
    <x v="11"/>
    <x v="4"/>
    <n v="600"/>
  </r>
  <r>
    <n v="1159"/>
    <x v="1"/>
    <n v="1160"/>
    <x v="3"/>
    <s v="Opex"/>
    <x v="1"/>
    <x v="3"/>
    <x v="4"/>
    <n v="137.5"/>
  </r>
  <r>
    <n v="1159"/>
    <x v="1"/>
    <n v="1160"/>
    <x v="3"/>
    <s v="Opex"/>
    <x v="2"/>
    <x v="4"/>
    <x v="4"/>
    <n v="25000"/>
  </r>
  <r>
    <n v="1159"/>
    <x v="1"/>
    <n v="1160"/>
    <x v="3"/>
    <s v="Opex"/>
    <x v="3"/>
    <x v="7"/>
    <x v="4"/>
    <n v="10000"/>
  </r>
  <r>
    <n v="1159"/>
    <x v="1"/>
    <n v="1160"/>
    <x v="3"/>
    <s v="Opex"/>
    <x v="3"/>
    <x v="6"/>
    <x v="4"/>
    <n v="7000"/>
  </r>
  <r>
    <n v="1159"/>
    <x v="1"/>
    <n v="1160"/>
    <x v="3"/>
    <s v="Opex"/>
    <x v="3"/>
    <x v="9"/>
    <x v="4"/>
    <n v="5000"/>
  </r>
  <r>
    <n v="1159"/>
    <x v="1"/>
    <n v="1160"/>
    <x v="3"/>
    <s v="Opex"/>
    <x v="4"/>
    <x v="10"/>
    <x v="4"/>
    <n v="21000"/>
  </r>
  <r>
    <n v="1159"/>
    <x v="1"/>
    <n v="1160"/>
    <x v="3"/>
    <s v="Opex"/>
    <x v="5"/>
    <x v="11"/>
    <x v="4"/>
    <n v="300"/>
  </r>
  <r>
    <n v="1159"/>
    <x v="1"/>
    <n v="1150"/>
    <x v="1"/>
    <s v="Opex"/>
    <x v="8"/>
    <x v="24"/>
    <x v="4"/>
    <n v="2331.6792036699999"/>
  </r>
  <r>
    <n v="1159"/>
    <x v="1"/>
    <n v="1150"/>
    <x v="1"/>
    <s v="Opex"/>
    <x v="8"/>
    <x v="25"/>
    <x v="4"/>
    <n v="6986.6502757449989"/>
  </r>
  <r>
    <n v="1159"/>
    <x v="1"/>
    <n v="1150"/>
    <x v="1"/>
    <s v="Opex"/>
    <x v="8"/>
    <x v="26"/>
    <x v="4"/>
    <n v="0"/>
  </r>
  <r>
    <n v="1159"/>
    <x v="1"/>
    <n v="1150"/>
    <x v="1"/>
    <s v="Opex"/>
    <x v="8"/>
    <x v="27"/>
    <x v="4"/>
    <n v="10035.439999999999"/>
  </r>
  <r>
    <n v="1159"/>
    <x v="1"/>
    <n v="1150"/>
    <x v="1"/>
    <s v="Opex"/>
    <x v="8"/>
    <x v="28"/>
    <x v="4"/>
    <n v="406.9260000000001"/>
  </r>
  <r>
    <n v="1159"/>
    <x v="1"/>
    <n v="1150"/>
    <x v="1"/>
    <s v="Opex"/>
    <x v="8"/>
    <x v="29"/>
    <x v="4"/>
    <n v="0"/>
  </r>
  <r>
    <n v="1159"/>
    <x v="1"/>
    <n v="1150"/>
    <x v="1"/>
    <s v="Opex"/>
    <x v="8"/>
    <x v="30"/>
    <x v="4"/>
    <n v="16171.663411111111"/>
  </r>
  <r>
    <n v="1159"/>
    <x v="1"/>
    <n v="1150"/>
    <x v="1"/>
    <s v="Opex"/>
    <x v="8"/>
    <x v="31"/>
    <x v="4"/>
    <n v="6709.8682119999994"/>
  </r>
  <r>
    <n v="1159"/>
    <x v="1"/>
    <n v="1150"/>
    <x v="1"/>
    <s v="Opex"/>
    <x v="8"/>
    <x v="32"/>
    <x v="4"/>
    <n v="186.53433629359998"/>
  </r>
  <r>
    <n v="1159"/>
    <x v="1"/>
    <n v="1150"/>
    <x v="1"/>
    <s v="Opex"/>
    <x v="8"/>
    <x v="33"/>
    <x v="4"/>
    <n v="558.93202205960006"/>
  </r>
  <r>
    <n v="1159"/>
    <x v="1"/>
    <n v="1150"/>
    <x v="1"/>
    <s v="Opex"/>
    <x v="8"/>
    <x v="34"/>
    <x v="4"/>
    <n v="7380.8550332000013"/>
  </r>
  <r>
    <n v="1159"/>
    <x v="1"/>
    <n v="1150"/>
    <x v="1"/>
    <s v="Opex"/>
    <x v="8"/>
    <x v="35"/>
    <x v="4"/>
    <n v="205.18776992296003"/>
  </r>
  <r>
    <n v="1159"/>
    <x v="1"/>
    <n v="1150"/>
    <x v="1"/>
    <s v="Opex"/>
    <x v="8"/>
    <x v="36"/>
    <x v="4"/>
    <n v="233.16792036700002"/>
  </r>
  <r>
    <n v="1159"/>
    <x v="1"/>
    <n v="1150"/>
    <x v="1"/>
    <s v="Opex"/>
    <x v="8"/>
    <x v="37"/>
    <x v="4"/>
    <n v="614.82522426556"/>
  </r>
  <r>
    <n v="1159"/>
    <x v="1"/>
    <n v="1150"/>
    <x v="1"/>
    <s v="Opex"/>
    <x v="8"/>
    <x v="38"/>
    <x v="4"/>
    <n v="698.66502757450007"/>
  </r>
  <r>
    <n v="1159"/>
    <x v="1"/>
    <n v="1150"/>
    <x v="1"/>
    <s v="Opex"/>
    <x v="8"/>
    <x v="39"/>
    <x v="4"/>
    <n v="8387.3352649999997"/>
  </r>
  <r>
    <n v="1159"/>
    <x v="1"/>
    <n v="1150"/>
    <x v="1"/>
    <s v="Opex"/>
    <x v="8"/>
    <x v="40"/>
    <x v="4"/>
    <n v="81770.448869"/>
  </r>
  <r>
    <n v="1159"/>
    <x v="1"/>
    <n v="1150"/>
    <x v="1"/>
    <s v="Opex"/>
    <x v="8"/>
    <x v="41"/>
    <x v="4"/>
    <n v="250.53599999999997"/>
  </r>
  <r>
    <n v="1159"/>
    <x v="1"/>
    <n v="1150"/>
    <x v="1"/>
    <s v="Opex"/>
    <x v="8"/>
    <x v="42"/>
    <x v="4"/>
    <n v="11302.199999999999"/>
  </r>
  <r>
    <n v="1159"/>
    <x v="1"/>
    <n v="1150"/>
    <x v="1"/>
    <s v="Opex"/>
    <x v="8"/>
    <x v="43"/>
    <x v="4"/>
    <n v="1010.52"/>
  </r>
  <r>
    <n v="1159"/>
    <x v="1"/>
    <n v="1159"/>
    <x v="2"/>
    <s v="Opex"/>
    <x v="8"/>
    <x v="24"/>
    <x v="4"/>
    <n v="1689.9464319999997"/>
  </r>
  <r>
    <n v="1159"/>
    <x v="1"/>
    <n v="1159"/>
    <x v="2"/>
    <s v="Opex"/>
    <x v="8"/>
    <x v="25"/>
    <x v="4"/>
    <n v="5063.7603519999993"/>
  </r>
  <r>
    <n v="1159"/>
    <x v="1"/>
    <n v="1159"/>
    <x v="2"/>
    <s v="Opex"/>
    <x v="8"/>
    <x v="26"/>
    <x v="4"/>
    <n v="0"/>
  </r>
  <r>
    <n v="1159"/>
    <x v="1"/>
    <n v="1159"/>
    <x v="2"/>
    <s v="Opex"/>
    <x v="8"/>
    <x v="27"/>
    <x v="4"/>
    <n v="2612.88"/>
  </r>
  <r>
    <n v="1159"/>
    <x v="1"/>
    <n v="1159"/>
    <x v="2"/>
    <s v="Opex"/>
    <x v="8"/>
    <x v="28"/>
    <x v="4"/>
    <n v="86.58"/>
  </r>
  <r>
    <n v="1159"/>
    <x v="1"/>
    <n v="1159"/>
    <x v="2"/>
    <s v="Opex"/>
    <x v="8"/>
    <x v="29"/>
    <x v="4"/>
    <n v="0"/>
  </r>
  <r>
    <n v="1159"/>
    <x v="1"/>
    <n v="1159"/>
    <x v="2"/>
    <s v="Opex"/>
    <x v="8"/>
    <x v="30"/>
    <x v="4"/>
    <n v="36495.199999999997"/>
  </r>
  <r>
    <n v="1159"/>
    <x v="1"/>
    <n v="1159"/>
    <x v="2"/>
    <s v="Opex"/>
    <x v="8"/>
    <x v="31"/>
    <x v="4"/>
    <n v="4863.1552000000001"/>
  </r>
  <r>
    <n v="1159"/>
    <x v="1"/>
    <n v="1159"/>
    <x v="2"/>
    <s v="Opex"/>
    <x v="8"/>
    <x v="32"/>
    <x v="4"/>
    <n v="135.19571456"/>
  </r>
  <r>
    <n v="1159"/>
    <x v="1"/>
    <n v="1159"/>
    <x v="2"/>
    <s v="Opex"/>
    <x v="8"/>
    <x v="33"/>
    <x v="4"/>
    <n v="405.10082815999999"/>
  </r>
  <r>
    <n v="1159"/>
    <x v="1"/>
    <n v="1159"/>
    <x v="2"/>
    <s v="Opex"/>
    <x v="8"/>
    <x v="34"/>
    <x v="4"/>
    <n v="5349.4707200000003"/>
  </r>
  <r>
    <n v="1159"/>
    <x v="1"/>
    <n v="1159"/>
    <x v="2"/>
    <s v="Opex"/>
    <x v="8"/>
    <x v="35"/>
    <x v="4"/>
    <n v="148.71528601599999"/>
  </r>
  <r>
    <n v="1159"/>
    <x v="1"/>
    <n v="1159"/>
    <x v="2"/>
    <s v="Opex"/>
    <x v="8"/>
    <x v="36"/>
    <x v="4"/>
    <n v="168.99464319999998"/>
  </r>
  <r>
    <n v="1159"/>
    <x v="1"/>
    <n v="1159"/>
    <x v="2"/>
    <s v="Opex"/>
    <x v="8"/>
    <x v="37"/>
    <x v="4"/>
    <n v="445.61091097600001"/>
  </r>
  <r>
    <n v="1159"/>
    <x v="1"/>
    <n v="1159"/>
    <x v="2"/>
    <s v="Opex"/>
    <x v="8"/>
    <x v="38"/>
    <x v="4"/>
    <n v="506.37603520000005"/>
  </r>
  <r>
    <n v="1159"/>
    <x v="1"/>
    <n v="1159"/>
    <x v="2"/>
    <s v="Opex"/>
    <x v="8"/>
    <x v="39"/>
    <x v="4"/>
    <n v="6078.9440000000004"/>
  </r>
  <r>
    <n v="1159"/>
    <x v="1"/>
    <n v="1159"/>
    <x v="2"/>
    <s v="Opex"/>
    <x v="8"/>
    <x v="40"/>
    <x v="4"/>
    <n v="60142.04"/>
  </r>
  <r>
    <n v="1159"/>
    <x v="1"/>
    <n v="1159"/>
    <x v="2"/>
    <s v="Opex"/>
    <x v="8"/>
    <x v="41"/>
    <x v="4"/>
    <n v="57.816000000000003"/>
  </r>
  <r>
    <n v="1159"/>
    <x v="1"/>
    <n v="1159"/>
    <x v="2"/>
    <s v="Opex"/>
    <x v="8"/>
    <x v="42"/>
    <x v="4"/>
    <n v="2633.3999999999996"/>
  </r>
  <r>
    <n v="1159"/>
    <x v="1"/>
    <n v="1159"/>
    <x v="2"/>
    <s v="Opex"/>
    <x v="8"/>
    <x v="43"/>
    <x v="4"/>
    <n v="0"/>
  </r>
  <r>
    <n v="1159"/>
    <x v="1"/>
    <n v="1160"/>
    <x v="3"/>
    <s v="Opex"/>
    <x v="8"/>
    <x v="24"/>
    <x v="4"/>
    <n v="2001.3657210599997"/>
  </r>
  <r>
    <n v="1159"/>
    <x v="1"/>
    <n v="1160"/>
    <x v="3"/>
    <s v="Opex"/>
    <x v="8"/>
    <x v="25"/>
    <x v="4"/>
    <n v="5996.8980059099995"/>
  </r>
  <r>
    <n v="1159"/>
    <x v="1"/>
    <n v="1160"/>
    <x v="3"/>
    <s v="Opex"/>
    <x v="8"/>
    <x v="26"/>
    <x v="4"/>
    <n v="0"/>
  </r>
  <r>
    <n v="1159"/>
    <x v="1"/>
    <n v="1160"/>
    <x v="3"/>
    <s v="Opex"/>
    <x v="8"/>
    <x v="27"/>
    <x v="4"/>
    <n v="8293.52"/>
  </r>
  <r>
    <n v="1159"/>
    <x v="1"/>
    <n v="1160"/>
    <x v="3"/>
    <s v="Opex"/>
    <x v="8"/>
    <x v="28"/>
    <x v="4"/>
    <n v="349.20600000000007"/>
  </r>
  <r>
    <n v="1159"/>
    <x v="1"/>
    <n v="1160"/>
    <x v="3"/>
    <s v="Opex"/>
    <x v="8"/>
    <x v="29"/>
    <x v="4"/>
    <n v="0"/>
  </r>
  <r>
    <n v="1159"/>
    <x v="1"/>
    <n v="1160"/>
    <x v="3"/>
    <s v="Opex"/>
    <x v="8"/>
    <x v="30"/>
    <x v="4"/>
    <n v="15950.890851851849"/>
  </r>
  <r>
    <n v="1159"/>
    <x v="1"/>
    <n v="1160"/>
    <x v="3"/>
    <s v="Opex"/>
    <x v="8"/>
    <x v="31"/>
    <x v="4"/>
    <n v="5759.3258160000005"/>
  </r>
  <r>
    <n v="1159"/>
    <x v="1"/>
    <n v="1160"/>
    <x v="3"/>
    <s v="Opex"/>
    <x v="8"/>
    <x v="32"/>
    <x v="4"/>
    <n v="160.10925768479999"/>
  </r>
  <r>
    <n v="1159"/>
    <x v="1"/>
    <n v="1160"/>
    <x v="3"/>
    <s v="Opex"/>
    <x v="8"/>
    <x v="33"/>
    <x v="4"/>
    <n v="479.75184047279998"/>
  </r>
  <r>
    <n v="1159"/>
    <x v="1"/>
    <n v="1160"/>
    <x v="3"/>
    <s v="Opex"/>
    <x v="8"/>
    <x v="34"/>
    <x v="4"/>
    <n v="6335.2583976000014"/>
  </r>
  <r>
    <n v="1159"/>
    <x v="1"/>
    <n v="1160"/>
    <x v="3"/>
    <s v="Opex"/>
    <x v="8"/>
    <x v="35"/>
    <x v="4"/>
    <n v="176.12018345327999"/>
  </r>
  <r>
    <n v="1159"/>
    <x v="1"/>
    <n v="1160"/>
    <x v="3"/>
    <s v="Opex"/>
    <x v="8"/>
    <x v="36"/>
    <x v="4"/>
    <n v="200.13657210599996"/>
  </r>
  <r>
    <n v="1159"/>
    <x v="1"/>
    <n v="1160"/>
    <x v="3"/>
    <s v="Opex"/>
    <x v="8"/>
    <x v="37"/>
    <x v="4"/>
    <n v="527.72702452008002"/>
  </r>
  <r>
    <n v="1159"/>
    <x v="1"/>
    <n v="1160"/>
    <x v="3"/>
    <s v="Opex"/>
    <x v="8"/>
    <x v="38"/>
    <x v="4"/>
    <n v="599.68980059099999"/>
  </r>
  <r>
    <n v="1159"/>
    <x v="1"/>
    <n v="1160"/>
    <x v="3"/>
    <s v="Opex"/>
    <x v="8"/>
    <x v="39"/>
    <x v="4"/>
    <n v="7199.1572699999997"/>
  </r>
  <r>
    <n v="1159"/>
    <x v="1"/>
    <n v="1160"/>
    <x v="3"/>
    <s v="Opex"/>
    <x v="8"/>
    <x v="40"/>
    <x v="4"/>
    <n v="70471.816699999996"/>
  </r>
  <r>
    <n v="1159"/>
    <x v="1"/>
    <n v="1160"/>
    <x v="3"/>
    <s v="Opex"/>
    <x v="8"/>
    <x v="41"/>
    <x v="4"/>
    <n v="211.99199999999999"/>
  </r>
  <r>
    <n v="1159"/>
    <x v="1"/>
    <n v="1160"/>
    <x v="3"/>
    <s v="Opex"/>
    <x v="8"/>
    <x v="42"/>
    <x v="4"/>
    <n v="9655.7999999999993"/>
  </r>
  <r>
    <n v="1159"/>
    <x v="1"/>
    <n v="1160"/>
    <x v="3"/>
    <s v="Opex"/>
    <x v="8"/>
    <x v="43"/>
    <x v="4"/>
    <n v="514.08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88A3D-C36B-481C-975D-F07C2061B72C}" name="Tabela dinâmica1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Itens">
  <location ref="A21:S27" firstHeaderRow="0" firstDataRow="1" firstDataCol="1"/>
  <pivotFields count="31">
    <pivotField showAll="0"/>
    <pivotField axis="axisRow" showAll="0">
      <items count="21">
        <item sd="0" m="1" x="2"/>
        <item sd="0" m="1" x="4"/>
        <item sd="0" m="1" x="17"/>
        <item sd="0" x="0"/>
        <item sd="0" m="1" x="7"/>
        <item sd="0" m="1" x="9"/>
        <item sd="0" m="1" x="3"/>
        <item sd="0" m="1" x="5"/>
        <item sd="0" m="1" x="6"/>
        <item sd="0" m="1" x="14"/>
        <item sd="0" m="1" x="11"/>
        <item sd="0" m="1" x="12"/>
        <item sd="0" m="1" x="10"/>
        <item x="1"/>
        <item sd="0" m="1" x="15"/>
        <item sd="0" m="1" x="16"/>
        <item sd="0" m="1" x="18"/>
        <item sd="0" m="1" x="13"/>
        <item sd="0" m="1" x="8"/>
        <item sd="0" m="1" x="19"/>
        <item t="default" sd="0"/>
      </items>
    </pivotField>
    <pivotField showAll="0"/>
    <pivotField axis="axisRow" showAll="0">
      <items count="92">
        <item sd="0" m="1" x="90"/>
        <item sd="0" m="1" x="63"/>
        <item sd="0" m="1" x="64"/>
        <item sd="0" m="1" x="66"/>
        <item sd="0" m="1" x="7"/>
        <item sd="0" m="1" x="6"/>
        <item sd="0" m="1" x="45"/>
        <item sd="0" m="1" x="82"/>
        <item sd="0" m="1" x="53"/>
        <item sd="0" m="1" x="14"/>
        <item sd="0" m="1" x="42"/>
        <item sd="0" m="1" x="8"/>
        <item sd="0" m="1" x="50"/>
        <item sd="0" m="1" x="29"/>
        <item sd="0" m="1" x="79"/>
        <item sd="0" m="1" x="19"/>
        <item sd="0" m="1" x="18"/>
        <item sd="0" m="1" x="65"/>
        <item sd="0" m="1" x="38"/>
        <item sd="0" m="1" x="40"/>
        <item sd="0" m="1" x="41"/>
        <item sd="0" m="1" x="39"/>
        <item sd="0" m="1" x="4"/>
        <item sd="0" m="1" x="5"/>
        <item sd="0" x="0"/>
        <item sd="0" m="1" x="25"/>
        <item sd="0" m="1" x="51"/>
        <item sd="0" m="1" x="13"/>
        <item sd="0" m="1" x="73"/>
        <item sd="0" m="1" x="74"/>
        <item sd="0" m="1" x="68"/>
        <item sd="0" m="1" x="69"/>
        <item sd="0" m="1" x="57"/>
        <item sd="0" m="1" x="60"/>
        <item sd="0" x="2"/>
        <item sd="0" m="1" x="71"/>
        <item sd="0" m="1" x="36"/>
        <item sd="0" m="1" x="34"/>
        <item sd="0" m="1" x="32"/>
        <item sd="0" m="1" x="35"/>
        <item sd="0" m="1" x="33"/>
        <item sd="0" m="1" x="31"/>
        <item sd="0" m="1" x="30"/>
        <item sd="0" m="1" x="9"/>
        <item sd="0" m="1" x="37"/>
        <item sd="0" m="1" x="44"/>
        <item sd="0" m="1" x="56"/>
        <item sd="0" m="1" x="10"/>
        <item sd="0" m="1" x="11"/>
        <item sd="0" m="1" x="67"/>
        <item sd="0" m="1" x="87"/>
        <item sd="0" m="1" x="46"/>
        <item sd="0" m="1" x="16"/>
        <item sd="0" x="1"/>
        <item sd="0" x="3"/>
        <item sd="0" m="1" x="55"/>
        <item sd="0" m="1" x="52"/>
        <item sd="0" m="1" x="78"/>
        <item sd="0" m="1" x="24"/>
        <item sd="0" m="1" x="85"/>
        <item sd="0" m="1" x="81"/>
        <item sd="0" m="1" x="28"/>
        <item sd="0" m="1" x="58"/>
        <item sd="0" m="1" x="17"/>
        <item sd="0" m="1" x="72"/>
        <item sd="0" m="1" x="48"/>
        <item sd="0" m="1" x="49"/>
        <item sd="0" m="1" x="83"/>
        <item sd="0" m="1" x="54"/>
        <item sd="0" m="1" x="27"/>
        <item sd="0" m="1" x="12"/>
        <item sd="0" m="1" x="43"/>
        <item sd="0" m="1" x="70"/>
        <item sd="0" m="1" x="47"/>
        <item sd="0" m="1" x="61"/>
        <item sd="0" m="1" x="62"/>
        <item sd="0" m="1" x="80"/>
        <item sd="0" m="1" x="26"/>
        <item sd="0" m="1" x="84"/>
        <item sd="0" m="1" x="59"/>
        <item sd="0" m="1" x="76"/>
        <item sd="0" m="1" x="77"/>
        <item sd="0" m="1" x="88"/>
        <item sd="0" m="1" x="86"/>
        <item sd="0" m="1" x="75"/>
        <item sd="0" m="1" x="20"/>
        <item sd="0" m="1" x="21"/>
        <item sd="0" m="1" x="22"/>
        <item sd="0" m="1" x="23"/>
        <item sd="0" m="1" x="15"/>
        <item m="1" x="89"/>
        <item t="default" sd="0"/>
      </items>
    </pivotField>
    <pivotField showAll="0"/>
    <pivotField axis="axisRow" showAll="0">
      <items count="21">
        <item sd="0" x="2"/>
        <item sd="0" x="4"/>
        <item sd="0" x="1"/>
        <item sd="0" m="1" x="18"/>
        <item sd="0" m="1" x="17"/>
        <item sd="0" m="1" x="14"/>
        <item sd="0" m="1" x="9"/>
        <item sd="0" m="1" x="10"/>
        <item sd="0" x="0"/>
        <item sd="0" x="6"/>
        <item sd="0" m="1" x="13"/>
        <item sd="0" m="1" x="15"/>
        <item sd="0" x="3"/>
        <item sd="0" m="1" x="12"/>
        <item sd="0" x="8"/>
        <item sd="0" m="1" x="19"/>
        <item sd="0" m="1" x="11"/>
        <item sd="0" m="1" x="16"/>
        <item sd="0" x="7"/>
        <item sd="0" x="5"/>
        <item t="default" sd="0"/>
      </items>
    </pivotField>
    <pivotField axis="axisRow" showAll="0">
      <items count="109">
        <item x="26"/>
        <item x="34"/>
        <item x="37"/>
        <item x="38"/>
        <item x="27"/>
        <item x="35"/>
        <item x="39"/>
        <item x="40"/>
        <item m="1" x="83"/>
        <item m="1" x="54"/>
        <item m="1" x="60"/>
        <item x="28"/>
        <item x="0"/>
        <item m="1" x="72"/>
        <item m="1" x="99"/>
        <item m="1" x="95"/>
        <item x="29"/>
        <item x="30"/>
        <item m="1" x="87"/>
        <item x="31"/>
        <item x="32"/>
        <item x="17"/>
        <item m="1" x="91"/>
        <item m="1" x="63"/>
        <item m="1" x="61"/>
        <item x="4"/>
        <item m="1" x="73"/>
        <item m="1" x="62"/>
        <item m="1" x="59"/>
        <item m="1" x="103"/>
        <item x="10"/>
        <item x="1"/>
        <item x="13"/>
        <item x="14"/>
        <item x="15"/>
        <item x="18"/>
        <item x="8"/>
        <item m="1" x="68"/>
        <item x="19"/>
        <item m="1" x="64"/>
        <item m="1" x="101"/>
        <item x="3"/>
        <item x="46"/>
        <item x="49"/>
        <item x="47"/>
        <item x="48"/>
        <item m="1" x="81"/>
        <item m="1" x="55"/>
        <item m="1" x="80"/>
        <item m="1" x="105"/>
        <item m="1" x="79"/>
        <item m="1" x="84"/>
        <item x="6"/>
        <item x="7"/>
        <item m="1" x="106"/>
        <item x="21"/>
        <item m="1" x="89"/>
        <item m="1" x="85"/>
        <item m="1" x="76"/>
        <item x="20"/>
        <item m="1" x="78"/>
        <item m="1" x="74"/>
        <item m="1" x="96"/>
        <item m="1" x="75"/>
        <item m="1" x="57"/>
        <item x="5"/>
        <item m="1" x="98"/>
        <item m="1" x="65"/>
        <item m="1" x="86"/>
        <item m="1" x="88"/>
        <item m="1" x="56"/>
        <item m="1" x="82"/>
        <item m="1" x="58"/>
        <item m="1" x="97"/>
        <item x="9"/>
        <item x="2"/>
        <item m="1" x="71"/>
        <item x="22"/>
        <item x="23"/>
        <item m="1" x="69"/>
        <item x="24"/>
        <item m="1" x="107"/>
        <item m="1" x="94"/>
        <item m="1" x="100"/>
        <item m="1" x="102"/>
        <item x="11"/>
        <item m="1" x="66"/>
        <item x="50"/>
        <item x="53"/>
        <item x="51"/>
        <item x="52"/>
        <item m="1" x="67"/>
        <item x="16"/>
        <item x="42"/>
        <item x="33"/>
        <item x="36"/>
        <item x="41"/>
        <item x="43"/>
        <item m="1" x="77"/>
        <item m="1" x="104"/>
        <item m="1" x="90"/>
        <item x="12"/>
        <item m="1" x="92"/>
        <item m="1" x="93"/>
        <item x="25"/>
        <item m="1" x="70"/>
        <item x="45"/>
        <item x="44"/>
        <item t="default"/>
      </items>
    </pivotField>
    <pivotField dataField="1" numFmtId="4" showAll="0"/>
    <pivotField dataField="1" numFmtId="4" showAll="0"/>
    <pivotField numFmtId="9" showAll="0"/>
    <pivotField dataField="1" numFmtId="4" showAll="0"/>
    <pivotField dataField="1" numFmtId="4" showAll="0"/>
    <pivotField dataField="1" numFmtId="4" showAll="0"/>
    <pivotField numFmtId="9" showAll="0"/>
    <pivotField dataField="1" numFmtId="4" showAll="0"/>
    <pivotField dataField="1" numFmtId="4" showAll="0"/>
    <pivotField dataField="1" numFmtId="4" showAll="0"/>
    <pivotField numFmtId="9" showAll="0"/>
    <pivotField dataField="1" numFmtId="4" showAll="0"/>
    <pivotField dataField="1" numFmtId="4" showAll="0"/>
    <pivotField dataField="1" numFmtId="4" showAll="0"/>
    <pivotField numFmtId="9" showAll="0"/>
    <pivotField dataField="1" numFmtId="4" showAll="0"/>
    <pivotField dataField="1" numFmtId="4" showAll="0"/>
    <pivotField dataField="1" numFmtId="4" showAll="0"/>
    <pivotField numFmtId="9" showAll="0"/>
    <pivotField dataField="1" numFmtId="4" showAll="0"/>
    <pivotField dataField="1" numFmtId="4" showAll="0"/>
    <pivotField dataField="1" numFmtId="4" showAll="0"/>
    <pivotField numFmtId="9" showAll="0"/>
    <pivotField dataField="1" numFmtId="4" showAll="0"/>
  </pivotFields>
  <rowFields count="4">
    <field x="1"/>
    <field x="3"/>
    <field x="5"/>
    <field x="6"/>
  </rowFields>
  <rowItems count="6">
    <i>
      <x v="3"/>
    </i>
    <i>
      <x v="13"/>
    </i>
    <i r="1">
      <x v="34"/>
    </i>
    <i r="1">
      <x v="53"/>
    </i>
    <i r="1">
      <x v="54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PO_x000a_jan/26 " fld="7" baseField="0" baseItem="0" numFmtId="4"/>
    <dataField name="Real_x000a_jan/26 " fld="8" baseField="0" baseItem="0" numFmtId="4"/>
    <dataField name="Desvio_x000a_jan/26" fld="10" baseField="0" baseItem="0" numFmtId="4"/>
    <dataField name="PO_x000a_fev/26 " fld="11" baseField="0" baseItem="0" numFmtId="4"/>
    <dataField name="Real_x000a_fev/26 " fld="12" baseField="0" baseItem="0" numFmtId="4"/>
    <dataField name="Desvio_x000a_fev/26 " fld="14" baseField="0" baseItem="0" numFmtId="4"/>
    <dataField name="PO_x000a_mar/26 " fld="15" baseField="0" baseItem="0" numFmtId="4"/>
    <dataField name="Real_x000a_mar/26" fld="16" baseField="0" baseItem="0" numFmtId="4"/>
    <dataField name="Desvio_x000a_mar/26" fld="18" baseField="0" baseItem="0" numFmtId="4"/>
    <dataField name="PO _x000a_abr/26 " fld="19" baseField="0" baseItem="0" numFmtId="4"/>
    <dataField name="Real_x000a_abr/26" fld="20" baseField="0" baseItem="0" numFmtId="4"/>
    <dataField name="Desvio_x000a_abr/26" fld="22" baseField="0" baseItem="0" numFmtId="4"/>
    <dataField name="PO_x000a_mai/26 " fld="23" baseField="0" baseItem="0" numFmtId="4"/>
    <dataField name="Real_x000a_mai/26 " fld="24" baseField="0" baseItem="0" numFmtId="4"/>
    <dataField name="Desvio_x000a_mai/26" fld="26" baseField="0" baseItem="0" numFmtId="4"/>
    <dataField name="PO_x000a_Total 5M" fld="27" baseField="0" baseItem="0" numFmtId="4"/>
    <dataField name="Real_x000a_Total 5M" fld="28" baseField="0" baseItem="0" numFmtId="4"/>
    <dataField name="Desvio_x000a_Total 5M" fld="30" baseField="0" baseItem="0" numFmtId="4"/>
  </dataFields>
  <formats count="46">
    <format dxfId="66">
      <pivotArea outline="0" collapsedLevelsAreSubtotals="1" fieldPosition="0"/>
    </format>
    <format dxfId="65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4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3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  <format dxfId="29">
      <pivotArea field="1" grandRow="1" outline="0" collapsedLevelsAreSubtotals="1" axis="axisRow" fieldPosition="0">
        <references count="1">
          <reference field="4294967294" count="1" selected="0">
            <x v="9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12"/>
          </reference>
        </references>
      </pivotArea>
    </format>
    <format dxfId="27">
      <pivotArea field="1" grandRow="1" outline="0" collapsedLevelsAreSubtotals="1" axis="axisRow" fieldPosition="0">
        <references count="1">
          <reference field="4294967294" count="1" selected="0">
            <x v="15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">
      <pivotArea field="1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24">
      <pivotArea field="1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13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16"/>
          </reference>
        </references>
      </pivotArea>
    </format>
  </formats>
  <pivotTableStyleInfo name="PivotStyleDark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D859F-5D4C-452E-B4DE-1F2B1416DEE4}" name="Tabela dinâ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Itens" colHeaderCaption="Realizado">
  <location ref="A21:G28" firstHeaderRow="1" firstDataRow="2" firstDataCol="1"/>
  <pivotFields count="11">
    <pivotField axis="axisCol" numFmtId="17" showAll="0">
      <items count="6">
        <item x="0"/>
        <item x="1"/>
        <item x="2"/>
        <item x="3"/>
        <item x="4"/>
        <item t="default"/>
      </items>
    </pivotField>
    <pivotField axis="axisRow" showAll="0">
      <items count="26">
        <item sd="0" x="8"/>
        <item sd="0" x="11"/>
        <item sd="0" x="9"/>
        <item sd="0" x="5"/>
        <item sd="0" x="1"/>
        <item sd="0" x="12"/>
        <item sd="0" m="1" x="20"/>
        <item sd="0" m="1" x="18"/>
        <item sd="0" m="1" x="16"/>
        <item sd="0" m="1" x="23"/>
        <item sd="0" m="1" x="24"/>
        <item sd="0" x="10"/>
        <item sd="0" x="6"/>
        <item sd="0" m="1" x="14"/>
        <item sd="0" m="1" x="19"/>
        <item sd="0" x="3"/>
        <item sd="0" x="7"/>
        <item sd="0" m="1" x="15"/>
        <item sd="0" m="1" x="22"/>
        <item sd="0" x="0"/>
        <item sd="0" m="1" x="21"/>
        <item sd="0" m="1" x="13"/>
        <item sd="0" m="1" x="17"/>
        <item sd="0" x="2"/>
        <item sd="0" x="4"/>
        <item t="default" sd="0"/>
      </items>
    </pivotField>
    <pivotField showAll="0"/>
    <pivotField axis="axisRow" showAll="0">
      <items count="97">
        <item x="22"/>
        <item x="19"/>
        <item x="17"/>
        <item m="1" x="60"/>
        <item m="1" x="88"/>
        <item m="1" x="61"/>
        <item m="1" x="72"/>
        <item x="30"/>
        <item m="1" x="70"/>
        <item m="1" x="94"/>
        <item m="1" x="43"/>
        <item x="28"/>
        <item x="25"/>
        <item m="1" x="66"/>
        <item m="1" x="74"/>
        <item x="34"/>
        <item x="12"/>
        <item m="1" x="46"/>
        <item m="1" x="48"/>
        <item m="1" x="38"/>
        <item m="1" x="41"/>
        <item m="1" x="49"/>
        <item m="1" x="56"/>
        <item m="1" x="69"/>
        <item x="7"/>
        <item m="1" x="83"/>
        <item m="1" x="82"/>
        <item x="36"/>
        <item x="11"/>
        <item m="1" x="68"/>
        <item x="29"/>
        <item m="1" x="40"/>
        <item m="1" x="91"/>
        <item x="32"/>
        <item x="20"/>
        <item x="18"/>
        <item x="16"/>
        <item m="1" x="44"/>
        <item m="1" x="55"/>
        <item m="1" x="77"/>
        <item m="1" x="90"/>
        <item m="1" x="53"/>
        <item x="4"/>
        <item x="14"/>
        <item m="1" x="75"/>
        <item x="23"/>
        <item m="1" x="50"/>
        <item m="1" x="47"/>
        <item m="1" x="59"/>
        <item x="13"/>
        <item m="1" x="62"/>
        <item m="1" x="63"/>
        <item m="1" x="95"/>
        <item m="1" x="57"/>
        <item m="1" x="85"/>
        <item x="24"/>
        <item x="35"/>
        <item m="1" x="93"/>
        <item m="1" x="39"/>
        <item m="1" x="54"/>
        <item m="1" x="87"/>
        <item m="1" x="84"/>
        <item m="1" x="58"/>
        <item m="1" x="65"/>
        <item x="5"/>
        <item x="33"/>
        <item m="1" x="80"/>
        <item m="1" x="92"/>
        <item x="26"/>
        <item x="27"/>
        <item m="1" x="45"/>
        <item x="3"/>
        <item m="1" x="76"/>
        <item m="1" x="52"/>
        <item m="1" x="89"/>
        <item x="6"/>
        <item m="1" x="42"/>
        <item m="1" x="73"/>
        <item m="1" x="86"/>
        <item m="1" x="78"/>
        <item x="9"/>
        <item x="1"/>
        <item x="21"/>
        <item x="0"/>
        <item x="31"/>
        <item x="2"/>
        <item m="1" x="51"/>
        <item m="1" x="71"/>
        <item m="1" x="37"/>
        <item m="1" x="64"/>
        <item m="1" x="67"/>
        <item m="1" x="79"/>
        <item x="10"/>
        <item m="1" x="81"/>
        <item x="8"/>
        <item x="15"/>
        <item t="default"/>
      </items>
    </pivotField>
    <pivotField showAll="0"/>
    <pivotField showAll="0"/>
    <pivotField axis="axisRow" showAll="0">
      <items count="18">
        <item sd="0" m="1" x="9"/>
        <item sd="0" m="1" x="14"/>
        <item sd="0" x="1"/>
        <item sd="0" m="1" x="11"/>
        <item sd="0" m="1" x="8"/>
        <item sd="0" m="1" x="10"/>
        <item sd="0" m="1" x="13"/>
        <item sd="0" m="1" x="6"/>
        <item sd="0" m="1" x="7"/>
        <item sd="0" m="1" x="2"/>
        <item sd="0" m="1" x="3"/>
        <item sd="0" m="1" x="4"/>
        <item x="0"/>
        <item sd="0" m="1" x="15"/>
        <item sd="0" m="1" x="5"/>
        <item sd="0" m="1" x="12"/>
        <item sd="0" m="1" x="16"/>
        <item t="default" sd="0"/>
      </items>
    </pivotField>
    <pivotField showAll="0"/>
    <pivotField showAll="0"/>
    <pivotField axis="axisRow" showAll="0">
      <items count="89">
        <item sd="0" m="1" x="63"/>
        <item sd="0" m="1" x="64"/>
        <item sd="0" m="1" x="66"/>
        <item sd="0" m="1" x="15"/>
        <item sd="0" m="1" x="20"/>
        <item sd="0" m="1" x="44"/>
        <item sd="0" m="1" x="27"/>
        <item sd="0" m="1" x="58"/>
        <item sd="0" m="1" x="55"/>
        <item sd="0" m="1" x="73"/>
        <item sd="0" m="1" x="24"/>
        <item sd="0" m="1" x="51"/>
        <item sd="0" m="1" x="75"/>
        <item sd="0" m="1" x="32"/>
        <item sd="0" m="1" x="31"/>
        <item sd="0" m="1" x="65"/>
        <item sd="0" m="1" x="67"/>
        <item sd="0" m="1" x="62"/>
        <item sd="0" m="1" x="72"/>
        <item sd="0" m="1" x="68"/>
        <item sd="0" m="1" x="81"/>
        <item sd="0" m="1" x="82"/>
        <item sd="0" x="3"/>
        <item sd="0" m="1" x="41"/>
        <item sd="0" m="1" x="25"/>
        <item sd="0" m="1" x="35"/>
        <item sd="0" m="1" x="46"/>
        <item sd="0" m="1" x="9"/>
        <item sd="0" m="1" x="10"/>
        <item sd="0" m="1" x="4"/>
        <item sd="0" m="1" x="5"/>
        <item sd="0" m="1" x="85"/>
        <item sd="0" m="1" x="49"/>
        <item sd="0" x="1"/>
        <item sd="0" m="1" x="7"/>
        <item sd="0" m="1" x="71"/>
        <item sd="0" m="1" x="78"/>
        <item sd="0" m="1" x="74"/>
        <item sd="0" m="1" x="77"/>
        <item sd="0" m="1" x="79"/>
        <item sd="0" m="1" x="53"/>
        <item sd="0" m="1" x="52"/>
        <item sd="0" m="1" x="70"/>
        <item sd="0" m="1" x="54"/>
        <item sd="0" m="1" x="19"/>
        <item sd="0" m="1" x="45"/>
        <item sd="0" m="1" x="16"/>
        <item sd="0" m="1" x="17"/>
        <item sd="0" m="1" x="80"/>
        <item sd="0" m="1" x="87"/>
        <item sd="0" m="1" x="21"/>
        <item sd="0" x="0"/>
        <item sd="0" x="2"/>
        <item sd="0" m="1" x="42"/>
        <item sd="0" m="1" x="26"/>
        <item sd="0" m="1" x="14"/>
        <item sd="0" m="1" x="40"/>
        <item sd="0" m="1" x="57"/>
        <item sd="0" m="1" x="43"/>
        <item sd="0" m="1" x="34"/>
        <item sd="0" m="1" x="48"/>
        <item sd="0" m="1" x="30"/>
        <item sd="0" m="1" x="8"/>
        <item sd="0" m="1" x="23"/>
        <item sd="0" m="1" x="29"/>
        <item sd="0" m="1" x="86"/>
        <item sd="0" m="1" x="47"/>
        <item sd="0" m="1" x="28"/>
        <item sd="0" m="1" x="61"/>
        <item sd="0" m="1" x="18"/>
        <item sd="0" m="1" x="69"/>
        <item sd="0" m="1" x="6"/>
        <item sd="0" m="1" x="22"/>
        <item sd="0" m="1" x="50"/>
        <item sd="0" m="1" x="59"/>
        <item sd="0" m="1" x="76"/>
        <item sd="0" m="1" x="60"/>
        <item sd="0" m="1" x="56"/>
        <item sd="0" m="1" x="83"/>
        <item sd="0" m="1" x="13"/>
        <item sd="0" m="1" x="12"/>
        <item sd="0" m="1" x="11"/>
        <item sd="0" m="1" x="33"/>
        <item sd="0" m="1" x="37"/>
        <item sd="0" m="1" x="38"/>
        <item sd="0" m="1" x="39"/>
        <item sd="0" m="1" x="84"/>
        <item sd="0" m="1" x="36"/>
        <item t="default" sd="0"/>
      </items>
    </pivotField>
    <pivotField dataField="1" showAll="0"/>
  </pivotFields>
  <rowFields count="4">
    <field x="6"/>
    <field x="9"/>
    <field x="1"/>
    <field x="3"/>
  </rowFields>
  <rowItems count="6">
    <i>
      <x v="2"/>
    </i>
    <i>
      <x v="12"/>
    </i>
    <i r="1">
      <x v="33"/>
    </i>
    <i r="1">
      <x v="51"/>
    </i>
    <i r="1">
      <x v="5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10" baseField="6" baseItem="13" numFmtId="3"/>
  </dataFields>
  <formats count="2"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</formats>
  <pivotTableStyleInfo name="PivotStyleDark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BD685-88C2-45E5-839A-522A647E8E67}" name="Tabela dinâmica3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Itens" colHeaderCaption="PO">
  <location ref="A20:G28" firstHeaderRow="1" firstDataRow="3" firstDataCol="1"/>
  <pivotFields count="11">
    <pivotField subtotalTop="0" showAll="0" defaultSubtotal="0"/>
    <pivotField axis="axisRow" subtotalTop="0" showAll="0" defaultSubtotal="0">
      <items count="16">
        <item sd="0" m="1" x="2"/>
        <item sd="0" m="1" x="4"/>
        <item sd="0" m="1" x="7"/>
        <item sd="0" m="1" x="9"/>
        <item sd="0" m="1" x="3"/>
        <item sd="0" m="1" x="6"/>
        <item sd="0" m="1" x="14"/>
        <item sd="0" m="1" x="11"/>
        <item sd="0" m="1" x="12"/>
        <item sd="0" m="1" x="15"/>
        <item sd="0" m="1" x="10"/>
        <item x="1"/>
        <item sd="0" m="1" x="13"/>
        <item sd="0" x="0"/>
        <item sd="0" m="1" x="8"/>
        <item sd="0" m="1" x="5"/>
      </items>
    </pivotField>
    <pivotField subtotalTop="0" showAll="0" defaultSubtotal="0"/>
    <pivotField axis="axisRow" subtotalTop="0" showAll="0" defaultSubtotal="0">
      <items count="86">
        <item sd="0" m="1" x="62"/>
        <item sd="0" m="1" x="63"/>
        <item sd="0" m="1" x="65"/>
        <item sd="0" m="1" x="6"/>
        <item sd="0" m="1" x="44"/>
        <item sd="0" m="1" x="80"/>
        <item sd="0" m="1" x="52"/>
        <item sd="0" m="1" x="13"/>
        <item sd="0" m="1" x="41"/>
        <item sd="0" m="1" x="7"/>
        <item sd="0" m="1" x="49"/>
        <item sd="0" m="1" x="28"/>
        <item sd="0" m="1" x="77"/>
        <item sd="0" m="1" x="18"/>
        <item sd="0" m="1" x="17"/>
        <item sd="0" m="1" x="64"/>
        <item sd="0" m="1" x="37"/>
        <item sd="0" m="1" x="39"/>
        <item sd="0" m="1" x="40"/>
        <item sd="0" m="1" x="38"/>
        <item sd="0" m="1" x="4"/>
        <item sd="0" m="1" x="5"/>
        <item sd="0" x="0"/>
        <item sd="0" m="1" x="24"/>
        <item sd="0" m="1" x="50"/>
        <item sd="0" m="1" x="12"/>
        <item sd="0" m="1" x="71"/>
        <item sd="0" m="1" x="72"/>
        <item sd="0" m="1" x="66"/>
        <item sd="0" m="1" x="67"/>
        <item sd="0" m="1" x="56"/>
        <item sd="0" m="1" x="59"/>
        <item sd="0" x="2"/>
        <item sd="0" m="1" x="69"/>
        <item sd="0" m="1" x="35"/>
        <item sd="0" m="1" x="33"/>
        <item sd="0" m="1" x="31"/>
        <item sd="0" m="1" x="34"/>
        <item sd="0" m="1" x="32"/>
        <item sd="0" m="1" x="30"/>
        <item sd="0" m="1" x="29"/>
        <item sd="0" m="1" x="8"/>
        <item sd="0" m="1" x="36"/>
        <item sd="0" m="1" x="43"/>
        <item sd="0" m="1" x="55"/>
        <item sd="0" m="1" x="9"/>
        <item sd="0" m="1" x="10"/>
        <item sd="0" m="1" x="85"/>
        <item sd="0" m="1" x="45"/>
        <item sd="0" m="1" x="15"/>
        <item sd="0" x="1"/>
        <item sd="0" x="3"/>
        <item sd="0" m="1" x="54"/>
        <item sd="0" m="1" x="51"/>
        <item sd="0" m="1" x="76"/>
        <item sd="0" m="1" x="23"/>
        <item sd="0" m="1" x="83"/>
        <item sd="0" m="1" x="79"/>
        <item sd="0" m="1" x="27"/>
        <item sd="0" m="1" x="57"/>
        <item sd="0" m="1" x="16"/>
        <item sd="0" m="1" x="70"/>
        <item sd="0" m="1" x="47"/>
        <item sd="0" m="1" x="48"/>
        <item sd="0" m="1" x="81"/>
        <item sd="0" m="1" x="53"/>
        <item sd="0" m="1" x="26"/>
        <item sd="0" m="1" x="11"/>
        <item sd="0" m="1" x="42"/>
        <item sd="0" m="1" x="68"/>
        <item sd="0" m="1" x="46"/>
        <item sd="0" m="1" x="60"/>
        <item sd="0" m="1" x="61"/>
        <item sd="0" m="1" x="78"/>
        <item sd="0" m="1" x="25"/>
        <item sd="0" m="1" x="82"/>
        <item sd="0" m="1" x="58"/>
        <item sd="0" m="1" x="74"/>
        <item sd="0" m="1" x="75"/>
        <item sd="0" m="1" x="84"/>
        <item sd="0" m="1" x="73"/>
        <item sd="0" m="1" x="19"/>
        <item sd="0" m="1" x="20"/>
        <item sd="0" m="1" x="21"/>
        <item sd="0" m="1" x="22"/>
        <item sd="0" m="1" x="14"/>
      </items>
    </pivotField>
    <pivotField showAll="0" defaultSubtotal="0"/>
    <pivotField axis="axisRow" showAll="0" defaultSubtotal="0">
      <items count="20">
        <item sd="0" x="1"/>
        <item sd="0" x="2"/>
        <item sd="0" x="4"/>
        <item sd="0" m="1" x="18"/>
        <item sd="0" m="1" x="17"/>
        <item sd="0" m="1" x="12"/>
        <item sd="0" m="1" x="9"/>
        <item sd="0" m="1" x="10"/>
        <item sd="0" x="0"/>
        <item sd="0" x="6"/>
        <item sd="0" m="1" x="11"/>
        <item sd="0" m="1" x="13"/>
        <item sd="0" x="3"/>
        <item sd="0" m="1" x="16"/>
        <item sd="0" x="8"/>
        <item sd="0" m="1" x="19"/>
        <item sd="0" m="1" x="14"/>
        <item sd="0" m="1" x="15"/>
        <item sd="0" x="7"/>
        <item sd="0" x="5"/>
      </items>
    </pivotField>
    <pivotField axis="axisRow" subtotalTop="0" showAll="0" defaultSubtotal="0">
      <items count="102">
        <item x="24"/>
        <item x="32"/>
        <item x="35"/>
        <item x="36"/>
        <item x="25"/>
        <item x="33"/>
        <item x="37"/>
        <item x="38"/>
        <item m="1" x="74"/>
        <item m="1" x="44"/>
        <item m="1" x="80"/>
        <item x="26"/>
        <item x="0"/>
        <item m="1" x="62"/>
        <item m="1" x="93"/>
        <item m="1" x="90"/>
        <item m="1" x="94"/>
        <item x="27"/>
        <item x="28"/>
        <item m="1" x="78"/>
        <item x="29"/>
        <item x="30"/>
        <item x="17"/>
        <item m="1" x="83"/>
        <item m="1" x="53"/>
        <item m="1" x="51"/>
        <item x="4"/>
        <item m="1" x="63"/>
        <item m="1" x="52"/>
        <item m="1" x="50"/>
        <item m="1" x="98"/>
        <item x="10"/>
        <item x="1"/>
        <item x="13"/>
        <item x="14"/>
        <item x="15"/>
        <item x="18"/>
        <item x="8"/>
        <item m="1" x="59"/>
        <item m="1" x="60"/>
        <item m="1" x="95"/>
        <item m="1" x="54"/>
        <item x="3"/>
        <item m="1" x="72"/>
        <item m="1" x="45"/>
        <item m="1" x="71"/>
        <item m="1" x="69"/>
        <item m="1" x="75"/>
        <item x="6"/>
        <item x="7"/>
        <item x="20"/>
        <item m="1" x="81"/>
        <item m="1" x="76"/>
        <item x="19"/>
        <item m="1" x="57"/>
        <item m="1" x="66"/>
        <item m="1" x="70"/>
        <item m="1" x="68"/>
        <item m="1" x="64"/>
        <item m="1" x="96"/>
        <item m="1" x="87"/>
        <item m="1" x="65"/>
        <item m="1" x="47"/>
        <item x="5"/>
        <item m="1" x="89"/>
        <item m="1" x="55"/>
        <item m="1" x="77"/>
        <item m="1" x="79"/>
        <item m="1" x="46"/>
        <item m="1" x="73"/>
        <item m="1" x="48"/>
        <item m="1" x="88"/>
        <item x="9"/>
        <item x="2"/>
        <item m="1" x="92"/>
        <item x="21"/>
        <item m="1" x="49"/>
        <item m="1" x="86"/>
        <item x="22"/>
        <item m="1" x="101"/>
        <item m="1" x="91"/>
        <item m="1" x="97"/>
        <item x="11"/>
        <item m="1" x="56"/>
        <item m="1" x="58"/>
        <item x="16"/>
        <item x="40"/>
        <item x="31"/>
        <item x="34"/>
        <item x="39"/>
        <item x="41"/>
        <item m="1" x="67"/>
        <item m="1" x="99"/>
        <item m="1" x="82"/>
        <item x="12"/>
        <item m="1" x="84"/>
        <item m="1" x="85"/>
        <item x="23"/>
        <item m="1" x="61"/>
        <item x="43"/>
        <item x="42"/>
        <item m="1" x="100"/>
      </items>
    </pivotField>
    <pivotField axis="axisCol" numFmtId="164" showAll="0" defaultSubtotal="0">
      <items count="5">
        <item x="0"/>
        <item x="1"/>
        <item x="2"/>
        <item x="3"/>
        <item x="4"/>
      </items>
    </pivotField>
    <pivotField dataField="1"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"/>
    <field x="3"/>
    <field x="5"/>
    <field x="6"/>
  </rowFields>
  <rowItems count="6">
    <i>
      <x v="11"/>
    </i>
    <i r="1">
      <x v="32"/>
    </i>
    <i r="1">
      <x v="50"/>
    </i>
    <i r="1">
      <x v="51"/>
    </i>
    <i>
      <x v="13"/>
    </i>
    <i t="grand">
      <x/>
    </i>
  </rowItems>
  <colFields count="2">
    <field x="10"/>
    <field x="7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oma de Total" fld="8" baseField="0" baseItem="0" numFmtId="3"/>
  </dataFields>
  <formats count="14">
    <format dxfId="18">
      <pivotArea outline="0" collapsedLevelsAreSubtotals="1" fieldPosition="0"/>
    </format>
    <format dxfId="17">
      <pivotArea field="10" type="button" dataOnly="0" labelOnly="1" outline="0" axis="axisCol" fieldPosition="0"/>
    </format>
    <format dxfId="16">
      <pivotArea field="7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Col" fieldPosition="1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10" count="5">
            <x v="1"/>
            <x v="2"/>
            <x v="3"/>
            <x v="4"/>
            <x v="5"/>
          </reference>
        </references>
      </pivotArea>
    </format>
    <format dxfId="8">
      <pivotArea dataOnly="0" labelOnly="1" grandCol="1" outline="0" fieldPosition="0"/>
    </format>
    <format dxfId="7">
      <pivotArea field="10" type="button" dataOnly="0" labelOnly="1" outline="0" axis="axisCol" fieldPosition="0"/>
    </format>
    <format dxfId="6">
      <pivotArea type="origin" dataOnly="0" labelOnly="1" outline="0" fieldPosition="0"/>
    </format>
    <format dxfId="5">
      <pivotArea outline="0" collapsedLevelsAreSubtotals="1" fieldPosition="0"/>
    </format>
  </formats>
  <pivotTableStyleInfo name="PivotStyleDark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040409F3-9F24-44D5-B016-137902130CC5}" sourceName="Mês">
  <pivotTables>
    <pivotTable tabId="6" name="Tabela dinâmica1"/>
  </pivotTables>
  <data>
    <tabular pivotCacheId="43597646">
      <items count="5">
        <i x="0" s="1"/>
        <i x="1" s="1"/>
        <i x="2" s="1"/>
        <i x="3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cote_Orçamentário" xr10:uid="{7A0425CC-E72A-4BD7-B9BF-E375693A9438}" sourceName="Pacote Orçamentário">
  <pivotTables>
    <pivotTable tabId="7" name="Tabela dinâmica1"/>
  </pivotTables>
  <data>
    <tabular pivotCacheId="62289842">
      <items count="20">
        <i x="2" s="1"/>
        <i x="4" s="1"/>
        <i x="1" s="1"/>
        <i x="0" s="1"/>
        <i x="6" s="1"/>
        <i x="3" s="1"/>
        <i x="8" s="1"/>
        <i x="7" s="1"/>
        <i x="5" s="1"/>
        <i x="18" s="1" nd="1"/>
        <i x="17" s="1" nd="1"/>
        <i x="14" s="1" nd="1"/>
        <i x="9" s="1" nd="1"/>
        <i x="10" s="1" nd="1"/>
        <i x="13" s="1" nd="1"/>
        <i x="15" s="1" nd="1"/>
        <i x="12" s="1" nd="1"/>
        <i x="19" s="1" nd="1"/>
        <i x="11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epartamento" xr10:uid="{EA38B85E-5530-4F85-8DA8-27ACE67C6FFD}" sourceName="Nome Departamento ">
  <pivotTables>
    <pivotTable tabId="8" name="Tabela dinâmica3"/>
  </pivotTables>
  <data>
    <tabular pivotCacheId="362714546">
      <items count="86">
        <i x="0" s="1"/>
        <i x="2" s="1"/>
        <i x="1" s="1"/>
        <i x="3" s="1"/>
        <i x="62" s="1" nd="1"/>
        <i x="63" s="1" nd="1"/>
        <i x="65" s="1" nd="1"/>
        <i x="6" s="1" nd="1"/>
        <i x="44" s="1" nd="1"/>
        <i x="80" s="1" nd="1"/>
        <i x="52" s="1" nd="1"/>
        <i x="13" s="1" nd="1"/>
        <i x="41" s="1" nd="1"/>
        <i x="7" s="1" nd="1"/>
        <i x="49" s="1" nd="1"/>
        <i x="28" s="1" nd="1"/>
        <i x="77" s="1" nd="1"/>
        <i x="18" s="1" nd="1"/>
        <i x="17" s="1" nd="1"/>
        <i x="64" s="1" nd="1"/>
        <i x="37" s="1" nd="1"/>
        <i x="39" s="1" nd="1"/>
        <i x="40" s="1" nd="1"/>
        <i x="38" s="1" nd="1"/>
        <i x="4" s="1" nd="1"/>
        <i x="5" s="1" nd="1"/>
        <i x="24" s="1" nd="1"/>
        <i x="50" s="1" nd="1"/>
        <i x="12" s="1" nd="1"/>
        <i x="71" s="1" nd="1"/>
        <i x="72" s="1" nd="1"/>
        <i x="66" s="1" nd="1"/>
        <i x="67" s="1" nd="1"/>
        <i x="56" s="1" nd="1"/>
        <i x="59" s="1" nd="1"/>
        <i x="69" s="1" nd="1"/>
        <i x="35" s="1" nd="1"/>
        <i x="33" s="1" nd="1"/>
        <i x="31" s="1" nd="1"/>
        <i x="34" s="1" nd="1"/>
        <i x="32" s="1" nd="1"/>
        <i x="30" s="1" nd="1"/>
        <i x="29" s="1" nd="1"/>
        <i x="8" s="1" nd="1"/>
        <i x="36" s="1" nd="1"/>
        <i x="43" s="1" nd="1"/>
        <i x="55" s="1" nd="1"/>
        <i x="9" s="1" nd="1"/>
        <i x="10" s="1" nd="1"/>
        <i x="85" s="1" nd="1"/>
        <i x="45" s="1" nd="1"/>
        <i x="15" s="1" nd="1"/>
        <i x="54" s="1" nd="1"/>
        <i x="51" s="1" nd="1"/>
        <i x="76" s="1" nd="1"/>
        <i x="23" s="1" nd="1"/>
        <i x="83" s="1" nd="1"/>
        <i x="79" s="1" nd="1"/>
        <i x="27" s="1" nd="1"/>
        <i x="57" s="1" nd="1"/>
        <i x="16" s="1" nd="1"/>
        <i x="70" s="1" nd="1"/>
        <i x="47" s="1" nd="1"/>
        <i x="48" s="1" nd="1"/>
        <i x="81" s="1" nd="1"/>
        <i x="53" s="1" nd="1"/>
        <i x="26" s="1" nd="1"/>
        <i x="11" s="1" nd="1"/>
        <i x="42" s="1" nd="1"/>
        <i x="68" s="1" nd="1"/>
        <i x="46" s="1" nd="1"/>
        <i x="60" s="1" nd="1"/>
        <i x="61" s="1" nd="1"/>
        <i x="78" s="1" nd="1"/>
        <i x="25" s="1" nd="1"/>
        <i x="82" s="1" nd="1"/>
        <i x="58" s="1" nd="1"/>
        <i x="74" s="1" nd="1"/>
        <i x="75" s="1" nd="1"/>
        <i x="84" s="1" nd="1"/>
        <i x="73" s="1" nd="1"/>
        <i x="19" s="1" nd="1"/>
        <i x="20" s="1" nd="1"/>
        <i x="21" s="1" nd="1"/>
        <i x="22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cote_Orçamentário1" xr10:uid="{E919CBAE-AF9C-45B3-ADE0-ABABDD12D635}" sourceName="Pacote Orçamentário">
  <pivotTables>
    <pivotTable tabId="8" name="Tabela dinâmica3"/>
  </pivotTables>
  <data>
    <tabular pivotCacheId="362714546">
      <items count="20">
        <i x="1" s="1"/>
        <i x="2" s="1"/>
        <i x="4" s="1"/>
        <i x="0" s="1"/>
        <i x="6" s="1"/>
        <i x="3" s="1"/>
        <i x="8" s="1"/>
        <i x="7" s="1"/>
        <i x="5" s="1"/>
        <i x="18" s="1" nd="1"/>
        <i x="17" s="1" nd="1"/>
        <i x="12" s="1" nd="1"/>
        <i x="9" s="1" nd="1"/>
        <i x="10" s="1" nd="1"/>
        <i x="11" s="1" nd="1"/>
        <i x="13" s="1" nd="1"/>
        <i x="16" s="1" nd="1"/>
        <i x="19" s="1" nd="1"/>
        <i x="14" s="1" nd="1"/>
        <i x="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tem_Orçamentário" xr10:uid="{E4E89287-C3F7-4674-B1DA-3F6936CC8888}" sourceName="Item Orçamentário">
  <pivotTables>
    <pivotTable tabId="8" name="Tabela dinâmica3"/>
  </pivotTables>
  <data>
    <tabular pivotCacheId="362714546">
      <items count="102">
        <i x="24" s="1"/>
        <i x="32" s="1"/>
        <i x="35" s="1"/>
        <i x="36" s="1"/>
        <i x="25" s="1"/>
        <i x="33" s="1"/>
        <i x="37" s="1"/>
        <i x="38" s="1"/>
        <i x="26" s="1"/>
        <i x="0" s="1"/>
        <i x="27" s="1"/>
        <i x="28" s="1"/>
        <i x="29" s="1"/>
        <i x="30" s="1"/>
        <i x="17" s="1"/>
        <i x="4" s="1"/>
        <i x="10" s="1"/>
        <i x="1" s="1"/>
        <i x="15" s="1"/>
        <i x="18" s="1"/>
        <i x="8" s="1"/>
        <i x="3" s="1"/>
        <i x="6" s="1"/>
        <i x="7" s="1"/>
        <i x="20" s="1"/>
        <i x="5" s="1"/>
        <i x="9" s="1"/>
        <i x="2" s="1"/>
        <i x="21" s="1"/>
        <i x="22" s="1"/>
        <i x="11" s="1"/>
        <i x="16" s="1"/>
        <i x="40" s="1"/>
        <i x="31" s="1"/>
        <i x="34" s="1"/>
        <i x="39" s="1"/>
        <i x="41" s="1"/>
        <i x="12" s="1"/>
        <i x="23" s="1"/>
        <i x="43" s="1"/>
        <i x="42" s="1"/>
        <i x="74" s="1" nd="1"/>
        <i x="44" s="1" nd="1"/>
        <i x="80" s="1" nd="1"/>
        <i x="62" s="1" nd="1"/>
        <i x="93" s="1" nd="1"/>
        <i x="90" s="1" nd="1"/>
        <i x="94" s="1" nd="1"/>
        <i x="78" s="1" nd="1"/>
        <i x="83" s="1" nd="1"/>
        <i x="53" s="1" nd="1"/>
        <i x="51" s="1" nd="1"/>
        <i x="63" s="1" nd="1"/>
        <i x="52" s="1" nd="1"/>
        <i x="50" s="1" nd="1"/>
        <i x="98" s="1" nd="1"/>
        <i x="13" s="1" nd="1"/>
        <i x="14" s="1" nd="1"/>
        <i x="59" s="1" nd="1"/>
        <i x="60" s="1" nd="1"/>
        <i x="95" s="1" nd="1"/>
        <i x="54" s="1" nd="1"/>
        <i x="72" s="1" nd="1"/>
        <i x="45" s="1" nd="1"/>
        <i x="71" s="1" nd="1"/>
        <i x="69" s="1" nd="1"/>
        <i x="75" s="1" nd="1"/>
        <i x="81" s="1" nd="1"/>
        <i x="76" s="1" nd="1"/>
        <i x="19" s="1" nd="1"/>
        <i x="57" s="1" nd="1"/>
        <i x="66" s="1" nd="1"/>
        <i x="70" s="1" nd="1"/>
        <i x="68" s="1" nd="1"/>
        <i x="64" s="1" nd="1"/>
        <i x="96" s="1" nd="1"/>
        <i x="87" s="1" nd="1"/>
        <i x="65" s="1" nd="1"/>
        <i x="47" s="1" nd="1"/>
        <i x="89" s="1" nd="1"/>
        <i x="55" s="1" nd="1"/>
        <i x="77" s="1" nd="1"/>
        <i x="79" s="1" nd="1"/>
        <i x="46" s="1" nd="1"/>
        <i x="73" s="1" nd="1"/>
        <i x="48" s="1" nd="1"/>
        <i x="88" s="1" nd="1"/>
        <i x="92" s="1" nd="1"/>
        <i x="49" s="1" nd="1"/>
        <i x="86" s="1" nd="1"/>
        <i x="101" s="1" nd="1"/>
        <i x="91" s="1" nd="1"/>
        <i x="97" s="1" nd="1"/>
        <i x="56" s="1" nd="1"/>
        <i x="58" s="1" nd="1"/>
        <i x="67" s="1" nd="1"/>
        <i x="99" s="1" nd="1"/>
        <i x="82" s="1" nd="1"/>
        <i x="84" s="1" nd="1"/>
        <i x="85" s="1" nd="1"/>
        <i x="61" s="1" nd="1"/>
        <i x="10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3A1C015E-7137-4F92-AB59-35C0C65941BD}" sourceName="Mês">
  <pivotTables>
    <pivotTable tabId="8" name="Tabela dinâmica3"/>
  </pivotTables>
  <data>
    <tabular pivotCacheId="362714546">
      <items count="5">
        <i x="0" s="1"/>
        <i x="1" s="1"/>
        <i x="2" s="1"/>
        <i x="3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cote_Orçamentário2" xr10:uid="{9B936E72-D2F4-4FF5-819D-B252033495F3}" sourceName="Pacote Orçamentário">
  <pivotTables>
    <pivotTable tabId="6" name="Tabela dinâmica1"/>
  </pivotTables>
  <data>
    <tabular pivotCacheId="43597646">
      <items count="25">
        <i x="8" s="1"/>
        <i x="11" s="1"/>
        <i x="9" s="1"/>
        <i x="5" s="1"/>
        <i x="1" s="1"/>
        <i x="12" s="1"/>
        <i x="10" s="1"/>
        <i x="6" s="1"/>
        <i x="3" s="1"/>
        <i x="7" s="1"/>
        <i x="0" s="1"/>
        <i x="2" s="1"/>
        <i x="4" s="1"/>
        <i x="20" s="1" nd="1"/>
        <i x="18" s="1" nd="1"/>
        <i x="16" s="1" nd="1"/>
        <i x="23" s="1" nd="1"/>
        <i x="24" s="1" nd="1"/>
        <i x="14" s="1" nd="1"/>
        <i x="19" s="1" nd="1"/>
        <i x="15" s="1" nd="1"/>
        <i x="22" s="1" nd="1"/>
        <i x="21" s="1" nd="1"/>
        <i x="13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tem_Orçamentário1" xr10:uid="{565730BF-9D18-491C-862F-AA10C8FC2091}" sourceName="Item Orçamentário">
  <pivotTables>
    <pivotTable tabId="6" name="Tabela dinâmica1"/>
  </pivotTables>
  <data>
    <tabular pivotCacheId="43597646">
      <items count="96">
        <i x="22" s="1"/>
        <i x="19" s="1"/>
        <i x="17" s="1"/>
        <i x="30" s="1"/>
        <i x="28" s="1"/>
        <i x="25" s="1"/>
        <i x="34" s="1"/>
        <i x="12" s="1"/>
        <i x="7" s="1"/>
        <i x="36" s="1"/>
        <i x="11" s="1"/>
        <i x="29" s="1"/>
        <i x="32" s="1"/>
        <i x="20" s="1"/>
        <i x="18" s="1"/>
        <i x="16" s="1"/>
        <i x="4" s="1"/>
        <i x="14" s="1"/>
        <i x="23" s="1"/>
        <i x="13" s="1"/>
        <i x="24" s="1"/>
        <i x="35" s="1"/>
        <i x="5" s="1"/>
        <i x="33" s="1"/>
        <i x="26" s="1"/>
        <i x="27" s="1"/>
        <i x="3" s="1"/>
        <i x="6" s="1"/>
        <i x="9" s="1"/>
        <i x="1" s="1"/>
        <i x="21" s="1"/>
        <i x="0" s="1"/>
        <i x="31" s="1"/>
        <i x="2" s="1"/>
        <i x="10" s="1"/>
        <i x="8" s="1"/>
        <i x="15" s="1"/>
        <i x="60" s="1" nd="1"/>
        <i x="88" s="1" nd="1"/>
        <i x="61" s="1" nd="1"/>
        <i x="72" s="1" nd="1"/>
        <i x="70" s="1" nd="1"/>
        <i x="94" s="1" nd="1"/>
        <i x="43" s="1" nd="1"/>
        <i x="66" s="1" nd="1"/>
        <i x="74" s="1" nd="1"/>
        <i x="46" s="1" nd="1"/>
        <i x="48" s="1" nd="1"/>
        <i x="38" s="1" nd="1"/>
        <i x="41" s="1" nd="1"/>
        <i x="49" s="1" nd="1"/>
        <i x="56" s="1" nd="1"/>
        <i x="69" s="1" nd="1"/>
        <i x="83" s="1" nd="1"/>
        <i x="82" s="1" nd="1"/>
        <i x="68" s="1" nd="1"/>
        <i x="40" s="1" nd="1"/>
        <i x="91" s="1" nd="1"/>
        <i x="44" s="1" nd="1"/>
        <i x="55" s="1" nd="1"/>
        <i x="77" s="1" nd="1"/>
        <i x="90" s="1" nd="1"/>
        <i x="53" s="1" nd="1"/>
        <i x="75" s="1" nd="1"/>
        <i x="50" s="1" nd="1"/>
        <i x="47" s="1" nd="1"/>
        <i x="59" s="1" nd="1"/>
        <i x="62" s="1" nd="1"/>
        <i x="63" s="1" nd="1"/>
        <i x="95" s="1" nd="1"/>
        <i x="57" s="1" nd="1"/>
        <i x="85" s="1" nd="1"/>
        <i x="93" s="1" nd="1"/>
        <i x="39" s="1" nd="1"/>
        <i x="54" s="1" nd="1"/>
        <i x="87" s="1" nd="1"/>
        <i x="84" s="1" nd="1"/>
        <i x="58" s="1" nd="1"/>
        <i x="65" s="1" nd="1"/>
        <i x="80" s="1" nd="1"/>
        <i x="92" s="1" nd="1"/>
        <i x="45" s="1" nd="1"/>
        <i x="76" s="1" nd="1"/>
        <i x="52" s="1" nd="1"/>
        <i x="89" s="1" nd="1"/>
        <i x="42" s="1" nd="1"/>
        <i x="73" s="1" nd="1"/>
        <i x="86" s="1" nd="1"/>
        <i x="78" s="1" nd="1"/>
        <i x="51" s="1" nd="1"/>
        <i x="71" s="1" nd="1"/>
        <i x="37" s="1" nd="1"/>
        <i x="64" s="1" nd="1"/>
        <i x="67" s="1" nd="1"/>
        <i x="79" s="1" nd="1"/>
        <i x="8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epartamento1" xr10:uid="{244687E2-AAD3-4D94-A99E-9FA1BDF32695}" sourceName="Nome Departamento ">
  <pivotTables>
    <pivotTable tabId="6" name="Tabela dinâmica1"/>
  </pivotTables>
  <data>
    <tabular pivotCacheId="43597646">
      <items count="88">
        <i x="3" s="1"/>
        <i x="1" s="1"/>
        <i x="0" s="1"/>
        <i x="2" s="1"/>
        <i x="63" s="1" nd="1"/>
        <i x="64" s="1" nd="1"/>
        <i x="66" s="1" nd="1"/>
        <i x="15" s="1" nd="1"/>
        <i x="20" s="1" nd="1"/>
        <i x="44" s="1" nd="1"/>
        <i x="27" s="1" nd="1"/>
        <i x="58" s="1" nd="1"/>
        <i x="55" s="1" nd="1"/>
        <i x="73" s="1" nd="1"/>
        <i x="24" s="1" nd="1"/>
        <i x="51" s="1" nd="1"/>
        <i x="75" s="1" nd="1"/>
        <i x="32" s="1" nd="1"/>
        <i x="31" s="1" nd="1"/>
        <i x="65" s="1" nd="1"/>
        <i x="67" s="1" nd="1"/>
        <i x="62" s="1" nd="1"/>
        <i x="72" s="1" nd="1"/>
        <i x="68" s="1" nd="1"/>
        <i x="81" s="1" nd="1"/>
        <i x="82" s="1" nd="1"/>
        <i x="41" s="1" nd="1"/>
        <i x="25" s="1" nd="1"/>
        <i x="35" s="1" nd="1"/>
        <i x="46" s="1" nd="1"/>
        <i x="9" s="1" nd="1"/>
        <i x="10" s="1" nd="1"/>
        <i x="4" s="1" nd="1"/>
        <i x="5" s="1" nd="1"/>
        <i x="85" s="1" nd="1"/>
        <i x="49" s="1" nd="1"/>
        <i x="7" s="1" nd="1"/>
        <i x="71" s="1" nd="1"/>
        <i x="78" s="1" nd="1"/>
        <i x="74" s="1" nd="1"/>
        <i x="77" s="1" nd="1"/>
        <i x="79" s="1" nd="1"/>
        <i x="53" s="1" nd="1"/>
        <i x="52" s="1" nd="1"/>
        <i x="70" s="1" nd="1"/>
        <i x="54" s="1" nd="1"/>
        <i x="19" s="1" nd="1"/>
        <i x="45" s="1" nd="1"/>
        <i x="16" s="1" nd="1"/>
        <i x="17" s="1" nd="1"/>
        <i x="80" s="1" nd="1"/>
        <i x="87" s="1" nd="1"/>
        <i x="21" s="1" nd="1"/>
        <i x="42" s="1" nd="1"/>
        <i x="26" s="1" nd="1"/>
        <i x="14" s="1" nd="1"/>
        <i x="40" s="1" nd="1"/>
        <i x="57" s="1" nd="1"/>
        <i x="43" s="1" nd="1"/>
        <i x="34" s="1" nd="1"/>
        <i x="48" s="1" nd="1"/>
        <i x="30" s="1" nd="1"/>
        <i x="8" s="1" nd="1"/>
        <i x="23" s="1" nd="1"/>
        <i x="29" s="1" nd="1"/>
        <i x="86" s="1" nd="1"/>
        <i x="47" s="1" nd="1"/>
        <i x="28" s="1" nd="1"/>
        <i x="61" s="1" nd="1"/>
        <i x="18" s="1" nd="1"/>
        <i x="69" s="1" nd="1"/>
        <i x="6" s="1" nd="1"/>
        <i x="22" s="1" nd="1"/>
        <i x="50" s="1" nd="1"/>
        <i x="59" s="1" nd="1"/>
        <i x="76" s="1" nd="1"/>
        <i x="60" s="1" nd="1"/>
        <i x="56" s="1" nd="1"/>
        <i x="83" s="1" nd="1"/>
        <i x="13" s="1" nd="1"/>
        <i x="12" s="1" nd="1"/>
        <i x="11" s="1" nd="1"/>
        <i x="33" s="1" nd="1"/>
        <i x="37" s="1" nd="1"/>
        <i x="38" s="1" nd="1"/>
        <i x="39" s="1" nd="1"/>
        <i x="84" s="1" nd="1"/>
        <i x="3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epartamento2" xr10:uid="{A5486CEC-B464-436F-BE53-D4AEC49F3BA6}" sourceName="Nome Departamento ">
  <pivotTables>
    <pivotTable tabId="7" name="Tabela dinâmica1"/>
  </pivotTables>
  <data>
    <tabular pivotCacheId="62289842">
      <items count="91">
        <i x="0" s="1"/>
        <i x="2" s="1"/>
        <i x="1" s="1"/>
        <i x="3" s="1"/>
        <i x="90" s="1" nd="1"/>
        <i x="63" s="1" nd="1"/>
        <i x="64" s="1" nd="1"/>
        <i x="66" s="1" nd="1"/>
        <i x="7" s="1" nd="1"/>
        <i x="6" s="1" nd="1"/>
        <i x="45" s="1" nd="1"/>
        <i x="82" s="1" nd="1"/>
        <i x="53" s="1" nd="1"/>
        <i x="14" s="1" nd="1"/>
        <i x="42" s="1" nd="1"/>
        <i x="8" s="1" nd="1"/>
        <i x="50" s="1" nd="1"/>
        <i x="29" s="1" nd="1"/>
        <i x="79" s="1" nd="1"/>
        <i x="19" s="1" nd="1"/>
        <i x="18" s="1" nd="1"/>
        <i x="65" s="1" nd="1"/>
        <i x="38" s="1" nd="1"/>
        <i x="40" s="1" nd="1"/>
        <i x="41" s="1" nd="1"/>
        <i x="39" s="1" nd="1"/>
        <i x="4" s="1" nd="1"/>
        <i x="5" s="1" nd="1"/>
        <i x="25" s="1" nd="1"/>
        <i x="51" s="1" nd="1"/>
        <i x="13" s="1" nd="1"/>
        <i x="73" s="1" nd="1"/>
        <i x="74" s="1" nd="1"/>
        <i x="68" s="1" nd="1"/>
        <i x="69" s="1" nd="1"/>
        <i x="57" s="1" nd="1"/>
        <i x="60" s="1" nd="1"/>
        <i x="71" s="1" nd="1"/>
        <i x="36" s="1" nd="1"/>
        <i x="34" s="1" nd="1"/>
        <i x="32" s="1" nd="1"/>
        <i x="35" s="1" nd="1"/>
        <i x="33" s="1" nd="1"/>
        <i x="31" s="1" nd="1"/>
        <i x="30" s="1" nd="1"/>
        <i x="9" s="1" nd="1"/>
        <i x="37" s="1" nd="1"/>
        <i x="44" s="1" nd="1"/>
        <i x="56" s="1" nd="1"/>
        <i x="10" s="1" nd="1"/>
        <i x="11" s="1" nd="1"/>
        <i x="67" s="1" nd="1"/>
        <i x="87" s="1" nd="1"/>
        <i x="46" s="1" nd="1"/>
        <i x="16" s="1" nd="1"/>
        <i x="55" s="1" nd="1"/>
        <i x="52" s="1" nd="1"/>
        <i x="78" s="1" nd="1"/>
        <i x="24" s="1" nd="1"/>
        <i x="85" s="1" nd="1"/>
        <i x="81" s="1" nd="1"/>
        <i x="28" s="1" nd="1"/>
        <i x="58" s="1" nd="1"/>
        <i x="17" s="1" nd="1"/>
        <i x="72" s="1" nd="1"/>
        <i x="48" s="1" nd="1"/>
        <i x="49" s="1" nd="1"/>
        <i x="83" s="1" nd="1"/>
        <i x="54" s="1" nd="1"/>
        <i x="27" s="1" nd="1"/>
        <i x="12" s="1" nd="1"/>
        <i x="43" s="1" nd="1"/>
        <i x="70" s="1" nd="1"/>
        <i x="47" s="1" nd="1"/>
        <i x="61" s="1" nd="1"/>
        <i x="62" s="1" nd="1"/>
        <i x="80" s="1" nd="1"/>
        <i x="26" s="1" nd="1"/>
        <i x="84" s="1" nd="1"/>
        <i x="59" s="1" nd="1"/>
        <i x="76" s="1" nd="1"/>
        <i x="77" s="1" nd="1"/>
        <i x="88" s="1" nd="1"/>
        <i x="86" s="1" nd="1"/>
        <i x="75" s="1" nd="1"/>
        <i x="20" s="1" nd="1"/>
        <i x="21" s="1" nd="1"/>
        <i x="22" s="1" nd="1"/>
        <i x="23" s="1" nd="1"/>
        <i x="89" s="1" nd="1"/>
        <i x="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tem_Orçamentário2" xr10:uid="{1FF8D8FA-8DE6-4AEE-8B8A-ED89DC5B6936}" sourceName="Item Orçamentário">
  <pivotTables>
    <pivotTable tabId="7" name="Tabela dinâmica1"/>
  </pivotTables>
  <data>
    <tabular pivotCacheId="62289842">
      <items count="108">
        <i x="26" s="1"/>
        <i x="34" s="1"/>
        <i x="37" s="1"/>
        <i x="38" s="1"/>
        <i x="27" s="1"/>
        <i x="35" s="1"/>
        <i x="39" s="1"/>
        <i x="40" s="1"/>
        <i x="28" s="1"/>
        <i x="0" s="1"/>
        <i x="29" s="1"/>
        <i x="30" s="1"/>
        <i x="31" s="1"/>
        <i x="32" s="1"/>
        <i x="17" s="1"/>
        <i x="4" s="1"/>
        <i x="10" s="1"/>
        <i x="1" s="1"/>
        <i x="13" s="1"/>
        <i x="14" s="1"/>
        <i x="15" s="1"/>
        <i x="18" s="1"/>
        <i x="8" s="1"/>
        <i x="19" s="1"/>
        <i x="3" s="1"/>
        <i x="46" s="1"/>
        <i x="49" s="1"/>
        <i x="47" s="1"/>
        <i x="48" s="1"/>
        <i x="6" s="1"/>
        <i x="7" s="1"/>
        <i x="21" s="1"/>
        <i x="20" s="1"/>
        <i x="5" s="1"/>
        <i x="9" s="1"/>
        <i x="2" s="1"/>
        <i x="22" s="1"/>
        <i x="23" s="1"/>
        <i x="24" s="1"/>
        <i x="11" s="1"/>
        <i x="50" s="1"/>
        <i x="53" s="1"/>
        <i x="51" s="1"/>
        <i x="52" s="1"/>
        <i x="16" s="1"/>
        <i x="42" s="1"/>
        <i x="33" s="1"/>
        <i x="36" s="1"/>
        <i x="41" s="1"/>
        <i x="43" s="1"/>
        <i x="12" s="1"/>
        <i x="25" s="1"/>
        <i x="45" s="1"/>
        <i x="44" s="1"/>
        <i x="83" s="1" nd="1"/>
        <i x="54" s="1" nd="1"/>
        <i x="60" s="1" nd="1"/>
        <i x="72" s="1" nd="1"/>
        <i x="99" s="1" nd="1"/>
        <i x="95" s="1" nd="1"/>
        <i x="87" s="1" nd="1"/>
        <i x="91" s="1" nd="1"/>
        <i x="63" s="1" nd="1"/>
        <i x="61" s="1" nd="1"/>
        <i x="73" s="1" nd="1"/>
        <i x="62" s="1" nd="1"/>
        <i x="59" s="1" nd="1"/>
        <i x="103" s="1" nd="1"/>
        <i x="68" s="1" nd="1"/>
        <i x="64" s="1" nd="1"/>
        <i x="101" s="1" nd="1"/>
        <i x="81" s="1" nd="1"/>
        <i x="55" s="1" nd="1"/>
        <i x="80" s="1" nd="1"/>
        <i x="105" s="1" nd="1"/>
        <i x="79" s="1" nd="1"/>
        <i x="84" s="1" nd="1"/>
        <i x="106" s="1" nd="1"/>
        <i x="89" s="1" nd="1"/>
        <i x="85" s="1" nd="1"/>
        <i x="76" s="1" nd="1"/>
        <i x="78" s="1" nd="1"/>
        <i x="74" s="1" nd="1"/>
        <i x="96" s="1" nd="1"/>
        <i x="75" s="1" nd="1"/>
        <i x="57" s="1" nd="1"/>
        <i x="98" s="1" nd="1"/>
        <i x="65" s="1" nd="1"/>
        <i x="86" s="1" nd="1"/>
        <i x="88" s="1" nd="1"/>
        <i x="56" s="1" nd="1"/>
        <i x="82" s="1" nd="1"/>
        <i x="58" s="1" nd="1"/>
        <i x="97" s="1" nd="1"/>
        <i x="71" s="1" nd="1"/>
        <i x="69" s="1" nd="1"/>
        <i x="107" s="1" nd="1"/>
        <i x="94" s="1" nd="1"/>
        <i x="100" s="1" nd="1"/>
        <i x="102" s="1" nd="1"/>
        <i x="66" s="1" nd="1"/>
        <i x="67" s="1" nd="1"/>
        <i x="77" s="1" nd="1"/>
        <i x="104" s="1" nd="1"/>
        <i x="90" s="1" nd="1"/>
        <i x="92" s="1" nd="1"/>
        <i x="93" s="1" nd="1"/>
        <i x="7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cote Orçamentário" xr10:uid="{B677EABD-840F-4DCF-BA40-C1BE0BFF9DCF}" cache="SegmentaçãodeDados_Pacote_Orçamentário" caption="Pacote Orçamentário" columnCount="2" style="SlicerStyleDark1" rowHeight="288000"/>
  <slicer name="Nome Departamento  2" xr10:uid="{17506792-52D4-445E-AF7D-61748CEF1164}" cache="SegmentaçãodeDados_Nome_Departamento2" caption="Nome Departamento " columnCount="2" style="SlicerStyleDark1" rowHeight="288000"/>
  <slicer name="Item Orçamentário 2" xr10:uid="{48ABA861-AD8D-40A9-9ADF-0455996140D7}" cache="SegmentaçãodeDados_Item_Orçamentário2" caption="Item Orçamentário" columnCount="2" style="SlicerStyleDark1" rowHeight="28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CB6ED0F3-497B-45C5-998F-633F4E62B00A}" cache="SegmentaçãodeDados_Mês" caption="Mês" style="SlicerStyleDark1" rowHeight="252000"/>
  <slicer name="Pacote Orçamentário 2" xr10:uid="{7C436E86-51D6-4B95-BABB-DBFB056B7936}" cache="SegmentaçãodeDados_Pacote_Orçamentário2" caption="Pacote Orçamentário" style="SlicerStyleDark1" rowHeight="252000"/>
  <slicer name="Item Orçamentário 1" xr10:uid="{F652ABAB-12B4-4AE2-8997-2D3C948DC9A1}" cache="SegmentaçãodeDados_Item_Orçamentário1" caption="Item Orçamentário" style="SlicerStyleDark1" rowHeight="252000"/>
  <slicer name="Nome Departamento  1" xr10:uid="{C89A07F2-481F-4C82-BA33-9D86F3313E7E}" cache="SegmentaçãodeDados_Nome_Departamento1" caption="Nome Departamento " style="SlicerStyleDark1" rowHeight="252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 Departamento " xr10:uid="{3083E676-9506-42A5-B536-095A512FBA6E}" cache="SegmentaçãodeDados_Nome_Departamento" caption="Nome Departamento " style="SlicerStyleDark1" rowHeight="252000"/>
  <slicer name="Pacote Orçamentário 1" xr10:uid="{DD0D4388-EAFE-4621-B2AF-16E081C3A950}" cache="SegmentaçãodeDados_Pacote_Orçamentário1" caption="Pacote Orçamentário" style="SlicerStyleDark1" rowHeight="252000"/>
  <slicer name="Item Orçamentário" xr10:uid="{9CC677FD-E2A8-4A83-88D2-F292C95E279F}" cache="SegmentaçãodeDados_Item_Orçamentário" caption="Item Orçamentário" style="SlicerStyleDark1" rowHeight="252000"/>
  <slicer name="Mês 1" xr10:uid="{085BEA1E-300F-4DB5-8A39-57142A59C383}" cache="SegmentaçãodeDados_Mês1" caption="Mês" style="SlicerStyleDark1" rowHeight="2520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5EFE-6EE3-49FA-BD19-ADCC8E9E3CA9}">
  <sheetPr>
    <tabColor theme="1"/>
  </sheetPr>
  <dimension ref="A1:S42"/>
  <sheetViews>
    <sheetView showGridLines="0" tabSelected="1" zoomScale="80" zoomScaleNormal="80" workbookViewId="0">
      <selection activeCell="N39" sqref="N39"/>
    </sheetView>
  </sheetViews>
  <sheetFormatPr baseColWidth="10" defaultColWidth="8.83203125" defaultRowHeight="15" x14ac:dyDescent="0.2"/>
  <cols>
    <col min="1" max="1" width="52.33203125" customWidth="1"/>
    <col min="2" max="19" width="13" customWidth="1"/>
    <col min="20" max="20" width="12.33203125" bestFit="1" customWidth="1"/>
    <col min="21" max="21" width="9.1640625" bestFit="1" customWidth="1"/>
  </cols>
  <sheetData>
    <row r="1" spans="1:19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24" x14ac:dyDescent="0.2">
      <c r="A2" s="91" t="s">
        <v>711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19" ht="10.5" customHeight="1" x14ac:dyDescent="0.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1:19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</row>
    <row r="7" spans="1:19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</row>
    <row r="8" spans="1:19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</row>
    <row r="9" spans="1:19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</row>
    <row r="10" spans="1:19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</row>
    <row r="11" spans="1:19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</row>
    <row r="12" spans="1:19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</row>
    <row r="13" spans="1:19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</row>
    <row r="14" spans="1:19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19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1:19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</row>
    <row r="17" spans="1:19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</row>
    <row r="18" spans="1:19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</row>
    <row r="19" spans="1:19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</row>
    <row r="20" spans="1:19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</row>
    <row r="21" spans="1:19" ht="32" x14ac:dyDescent="0.2">
      <c r="A21" s="52" t="s">
        <v>468</v>
      </c>
      <c r="B21" s="60" t="s">
        <v>685</v>
      </c>
      <c r="C21" s="66" t="s">
        <v>686</v>
      </c>
      <c r="D21" s="61" t="s">
        <v>687</v>
      </c>
      <c r="E21" s="60" t="s">
        <v>688</v>
      </c>
      <c r="F21" s="66" t="s">
        <v>689</v>
      </c>
      <c r="G21" s="61" t="s">
        <v>690</v>
      </c>
      <c r="H21" s="60" t="s">
        <v>691</v>
      </c>
      <c r="I21" s="66" t="s">
        <v>692</v>
      </c>
      <c r="J21" s="61" t="s">
        <v>693</v>
      </c>
      <c r="K21" s="60" t="s">
        <v>695</v>
      </c>
      <c r="L21" s="66" t="s">
        <v>698</v>
      </c>
      <c r="M21" s="61" t="s">
        <v>699</v>
      </c>
      <c r="N21" s="60" t="s">
        <v>696</v>
      </c>
      <c r="O21" s="66" t="s">
        <v>700</v>
      </c>
      <c r="P21" s="61" t="s">
        <v>701</v>
      </c>
      <c r="Q21" s="60" t="s">
        <v>697</v>
      </c>
      <c r="R21" s="66" t="s">
        <v>702</v>
      </c>
      <c r="S21" s="59" t="s">
        <v>703</v>
      </c>
    </row>
    <row r="22" spans="1:19" x14ac:dyDescent="0.2">
      <c r="A22" s="42" t="s">
        <v>70</v>
      </c>
      <c r="B22" s="53">
        <v>25600</v>
      </c>
      <c r="C22" s="53">
        <v>26300.71</v>
      </c>
      <c r="D22" s="53">
        <v>-700.70999999999913</v>
      </c>
      <c r="E22" s="53">
        <v>25600</v>
      </c>
      <c r="F22" s="53">
        <v>13036.2</v>
      </c>
      <c r="G22" s="53">
        <v>12563.8</v>
      </c>
      <c r="H22" s="53">
        <v>25600</v>
      </c>
      <c r="I22" s="53">
        <v>43452.26999999999</v>
      </c>
      <c r="J22" s="53">
        <v>-17852.26999999999</v>
      </c>
      <c r="K22" s="53">
        <v>30600</v>
      </c>
      <c r="L22" s="53">
        <v>0</v>
      </c>
      <c r="M22" s="53">
        <v>30600</v>
      </c>
      <c r="N22" s="53">
        <v>25600</v>
      </c>
      <c r="O22" s="53">
        <v>38369.780000000006</v>
      </c>
      <c r="P22" s="53">
        <v>-12769.780000000004</v>
      </c>
      <c r="Q22" s="53">
        <v>133000</v>
      </c>
      <c r="R22" s="53">
        <v>121158.95999999999</v>
      </c>
      <c r="S22" s="53">
        <v>11841.040000000005</v>
      </c>
    </row>
    <row r="23" spans="1:19" x14ac:dyDescent="0.2">
      <c r="A23" s="42" t="s">
        <v>14</v>
      </c>
      <c r="B23" s="53">
        <v>746079.54942731583</v>
      </c>
      <c r="C23" s="53">
        <v>520182.63</v>
      </c>
      <c r="D23" s="53">
        <v>225896.919427316</v>
      </c>
      <c r="E23" s="53">
        <v>764763.0872923159</v>
      </c>
      <c r="F23" s="53">
        <v>517138.23999999993</v>
      </c>
      <c r="G23" s="53">
        <v>247624.84729231594</v>
      </c>
      <c r="H23" s="53">
        <v>791181.57783231582</v>
      </c>
      <c r="I23" s="53">
        <v>730575.57000000007</v>
      </c>
      <c r="J23" s="53">
        <v>60606.007832316041</v>
      </c>
      <c r="K23" s="53">
        <v>786548.6205952788</v>
      </c>
      <c r="L23" s="53">
        <v>711183.92999999993</v>
      </c>
      <c r="M23" s="53">
        <v>75364.690595278953</v>
      </c>
      <c r="N23" s="53">
        <v>822795.51763357117</v>
      </c>
      <c r="O23" s="53">
        <v>864385.16999999981</v>
      </c>
      <c r="P23" s="53">
        <v>-41589.65236642884</v>
      </c>
      <c r="Q23" s="53">
        <v>3911368.352780798</v>
      </c>
      <c r="R23" s="53">
        <v>3343465.54</v>
      </c>
      <c r="S23" s="53">
        <v>567902.81278079795</v>
      </c>
    </row>
    <row r="24" spans="1:19" x14ac:dyDescent="0.2">
      <c r="A24" s="90" t="s">
        <v>14</v>
      </c>
      <c r="B24" s="53">
        <v>113385.65328588799</v>
      </c>
      <c r="C24" s="53">
        <v>130905.37</v>
      </c>
      <c r="D24" s="53">
        <v>-17519.716714111993</v>
      </c>
      <c r="E24" s="53">
        <v>112876.795535888</v>
      </c>
      <c r="F24" s="53">
        <v>105499.76</v>
      </c>
      <c r="G24" s="53">
        <v>7377.035535888007</v>
      </c>
      <c r="H24" s="53">
        <v>113669.23841088801</v>
      </c>
      <c r="I24" s="53">
        <v>113375.16000000002</v>
      </c>
      <c r="J24" s="53">
        <v>294.07841088799989</v>
      </c>
      <c r="K24" s="53">
        <v>149963.72691088798</v>
      </c>
      <c r="L24" s="53">
        <v>183702.90000000002</v>
      </c>
      <c r="M24" s="53">
        <v>-33739.173089111988</v>
      </c>
      <c r="N24" s="53">
        <v>148115.16274711196</v>
      </c>
      <c r="O24" s="53">
        <v>169398.23999999996</v>
      </c>
      <c r="P24" s="53">
        <v>-21283.077252888008</v>
      </c>
      <c r="Q24" s="53">
        <v>638010.57689066394</v>
      </c>
      <c r="R24" s="53">
        <v>702881.42999999993</v>
      </c>
      <c r="S24" s="53">
        <v>-64870.853109336051</v>
      </c>
    </row>
    <row r="25" spans="1:19" x14ac:dyDescent="0.2">
      <c r="A25" s="90" t="s">
        <v>15</v>
      </c>
      <c r="B25" s="53">
        <v>465079.47815831576</v>
      </c>
      <c r="C25" s="53">
        <v>265308.31</v>
      </c>
      <c r="D25" s="53">
        <v>199771.168158316</v>
      </c>
      <c r="E25" s="53">
        <v>473854.42253331584</v>
      </c>
      <c r="F25" s="53">
        <v>289639.48999999993</v>
      </c>
      <c r="G25" s="53">
        <v>184214.93253331594</v>
      </c>
      <c r="H25" s="53">
        <v>494579.47815831576</v>
      </c>
      <c r="I25" s="53">
        <v>277738.12</v>
      </c>
      <c r="J25" s="53">
        <v>216841.35815831597</v>
      </c>
      <c r="K25" s="53">
        <v>432701.14156942698</v>
      </c>
      <c r="L25" s="53">
        <v>303734.84999999998</v>
      </c>
      <c r="M25" s="53">
        <v>128966.29156942709</v>
      </c>
      <c r="N25" s="53">
        <v>471360.00944520941</v>
      </c>
      <c r="O25" s="53">
        <v>579618.96999999986</v>
      </c>
      <c r="P25" s="53">
        <v>-108258.96055479062</v>
      </c>
      <c r="Q25" s="53">
        <v>2337574.5298645841</v>
      </c>
      <c r="R25" s="53">
        <v>1716039.74</v>
      </c>
      <c r="S25" s="53">
        <v>621534.78986458445</v>
      </c>
    </row>
    <row r="26" spans="1:19" x14ac:dyDescent="0.2">
      <c r="A26" s="90" t="s">
        <v>13</v>
      </c>
      <c r="B26" s="53">
        <v>167614.41798311201</v>
      </c>
      <c r="C26" s="53">
        <v>123968.95</v>
      </c>
      <c r="D26" s="53">
        <v>43645.467983112001</v>
      </c>
      <c r="E26" s="53">
        <v>178031.86922311204</v>
      </c>
      <c r="F26" s="53">
        <v>121998.99</v>
      </c>
      <c r="G26" s="53">
        <v>56032.879223111981</v>
      </c>
      <c r="H26" s="53">
        <v>182932.86126311199</v>
      </c>
      <c r="I26" s="53">
        <v>339462.29</v>
      </c>
      <c r="J26" s="53">
        <v>-156529.42873688793</v>
      </c>
      <c r="K26" s="53">
        <v>203883.75211496383</v>
      </c>
      <c r="L26" s="53">
        <v>223746.18</v>
      </c>
      <c r="M26" s="53">
        <v>-19862.427885036159</v>
      </c>
      <c r="N26" s="53">
        <v>203320.34544124978</v>
      </c>
      <c r="O26" s="53">
        <v>115367.96</v>
      </c>
      <c r="P26" s="53">
        <v>87952.385441249789</v>
      </c>
      <c r="Q26" s="53">
        <v>935783.24602554971</v>
      </c>
      <c r="R26" s="53">
        <v>924544.37</v>
      </c>
      <c r="S26" s="53">
        <v>11238.876025549624</v>
      </c>
    </row>
    <row r="27" spans="1:19" ht="16" x14ac:dyDescent="0.2">
      <c r="A27" s="67" t="s">
        <v>467</v>
      </c>
      <c r="B27" s="68">
        <v>771679.54942731583</v>
      </c>
      <c r="C27" s="69">
        <v>546483.34</v>
      </c>
      <c r="D27" s="70">
        <v>225196.209427316</v>
      </c>
      <c r="E27" s="68">
        <v>790363.0872923159</v>
      </c>
      <c r="F27" s="69">
        <v>530174.43999999994</v>
      </c>
      <c r="G27" s="70">
        <v>260188.64729231593</v>
      </c>
      <c r="H27" s="68">
        <v>816781.57783231582</v>
      </c>
      <c r="I27" s="69">
        <v>774027.84</v>
      </c>
      <c r="J27" s="70">
        <v>42753.737832316052</v>
      </c>
      <c r="K27" s="68">
        <v>817148.6205952788</v>
      </c>
      <c r="L27" s="69">
        <v>711183.92999999993</v>
      </c>
      <c r="M27" s="70">
        <v>105964.69059527895</v>
      </c>
      <c r="N27" s="68">
        <v>848395.51763357117</v>
      </c>
      <c r="O27" s="69">
        <v>902754.94999999972</v>
      </c>
      <c r="P27" s="70">
        <v>-54359.432366428839</v>
      </c>
      <c r="Q27" s="68">
        <v>4044368.352780798</v>
      </c>
      <c r="R27" s="69">
        <v>3464624.5</v>
      </c>
      <c r="S27" s="70">
        <v>579743.85278079798</v>
      </c>
    </row>
    <row r="42" spans="1:19" s="71" customFormat="1" ht="16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</sheetData>
  <mergeCells count="1">
    <mergeCell ref="A2:S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E2F5-7231-4F2B-BD13-45EBDE1E1CFD}">
  <sheetPr>
    <tabColor theme="1"/>
    <outlinePr summaryRight="0"/>
  </sheetPr>
  <dimension ref="A1:AI137"/>
  <sheetViews>
    <sheetView showGridLines="0" zoomScale="90" zoomScaleNormal="90" workbookViewId="0">
      <pane xSplit="2" ySplit="10" topLeftCell="N11" activePane="bottomRight" state="frozen"/>
      <selection activeCell="F30" sqref="F30"/>
      <selection pane="topRight" activeCell="F30" sqref="F30"/>
      <selection pane="bottomLeft" activeCell="F30" sqref="F30"/>
      <selection pane="bottomRight" activeCell="AD30" sqref="AD30"/>
    </sheetView>
  </sheetViews>
  <sheetFormatPr baseColWidth="10" defaultColWidth="8.83203125" defaultRowHeight="15" outlineLevelCol="1" x14ac:dyDescent="0.2"/>
  <cols>
    <col min="1" max="1" width="2.6640625" customWidth="1"/>
    <col min="2" max="2" width="0.83203125" customWidth="1"/>
    <col min="3" max="3" width="15" bestFit="1" customWidth="1"/>
    <col min="4" max="4" width="38.83203125" bestFit="1" customWidth="1"/>
    <col min="5" max="5" width="12.33203125" bestFit="1" customWidth="1"/>
    <col min="6" max="6" width="45" bestFit="1" customWidth="1" outlineLevel="1"/>
    <col min="7" max="7" width="15.1640625" bestFit="1" customWidth="1" outlineLevel="1"/>
    <col min="8" max="8" width="47.33203125" bestFit="1" customWidth="1" outlineLevel="1"/>
    <col min="9" max="9" width="64.5" bestFit="1" customWidth="1"/>
    <col min="10" max="10" width="15.6640625" bestFit="1" customWidth="1" outlineLevel="1"/>
    <col min="11" max="11" width="15.33203125" bestFit="1" customWidth="1" outlineLevel="1"/>
    <col min="12" max="12" width="9.33203125" bestFit="1" customWidth="1" outlineLevel="1"/>
    <col min="13" max="13" width="14.83203125" bestFit="1" customWidth="1" outlineLevel="1"/>
    <col min="14" max="14" width="16" bestFit="1" customWidth="1" outlineLevel="1"/>
    <col min="15" max="15" width="15.6640625" bestFit="1" customWidth="1" outlineLevel="1"/>
    <col min="16" max="16" width="8.5" bestFit="1" customWidth="1" outlineLevel="1"/>
    <col min="17" max="17" width="14.83203125" bestFit="1" customWidth="1" outlineLevel="1"/>
    <col min="18" max="18" width="15.6640625" bestFit="1" customWidth="1" outlineLevel="1"/>
    <col min="19" max="19" width="16" bestFit="1" customWidth="1" outlineLevel="1"/>
    <col min="20" max="20" width="8.5" bestFit="1" customWidth="1" outlineLevel="1"/>
    <col min="21" max="21" width="13.6640625" customWidth="1" outlineLevel="1"/>
    <col min="22" max="22" width="16" bestFit="1" customWidth="1" outlineLevel="1"/>
    <col min="23" max="23" width="15.6640625" bestFit="1" customWidth="1" outlineLevel="1"/>
    <col min="24" max="24" width="9.5" bestFit="1" customWidth="1" outlineLevel="1"/>
    <col min="25" max="25" width="13.6640625" customWidth="1" outlineLevel="1"/>
    <col min="26" max="27" width="16" bestFit="1" customWidth="1" outlineLevel="1"/>
    <col min="28" max="28" width="8.5" bestFit="1" customWidth="1" outlineLevel="1"/>
    <col min="29" max="29" width="13.83203125" bestFit="1" customWidth="1" outlineLevel="1"/>
    <col min="30" max="30" width="16" bestFit="1" customWidth="1" outlineLevel="1"/>
    <col min="31" max="31" width="16.6640625" bestFit="1" customWidth="1" outlineLevel="1"/>
    <col min="32" max="32" width="8.5" bestFit="1" customWidth="1" outlineLevel="1"/>
    <col min="33" max="33" width="14.83203125" bestFit="1" customWidth="1" outlineLevel="1"/>
    <col min="34" max="34" width="1" style="1" customWidth="1"/>
    <col min="35" max="35" width="2.6640625" style="1" customWidth="1"/>
    <col min="36" max="16384" width="8.83203125" style="1"/>
  </cols>
  <sheetData>
    <row r="1" spans="1:35" ht="14.5" hidden="1" customHeight="1" x14ac:dyDescent="0.2">
      <c r="A1" s="8"/>
      <c r="B1" s="8"/>
      <c r="C1" s="26"/>
      <c r="D1" s="26"/>
      <c r="E1" s="26"/>
      <c r="F1" s="26"/>
      <c r="G1" s="26"/>
      <c r="H1" s="26"/>
      <c r="I1" s="36"/>
      <c r="J1" s="36"/>
      <c r="K1" s="37"/>
      <c r="L1" s="37"/>
      <c r="M1" s="36"/>
      <c r="N1" s="36"/>
      <c r="O1" s="37"/>
      <c r="P1" s="37"/>
      <c r="Q1" s="36"/>
      <c r="R1" s="37"/>
      <c r="S1" s="37"/>
      <c r="T1" s="37"/>
      <c r="U1" s="36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8"/>
      <c r="AI1" s="36"/>
    </row>
    <row r="2" spans="1:35" ht="14" hidden="1" customHeight="1" thickBot="1" x14ac:dyDescent="0.25">
      <c r="A2" s="8"/>
      <c r="B2" s="8"/>
      <c r="C2" s="26"/>
      <c r="D2" s="26"/>
      <c r="E2" s="26"/>
      <c r="F2" s="26"/>
      <c r="G2" s="26"/>
      <c r="H2" s="26"/>
      <c r="I2" s="36" t="s">
        <v>98</v>
      </c>
      <c r="J2" s="36"/>
      <c r="K2" s="37">
        <v>1</v>
      </c>
      <c r="L2" s="37"/>
      <c r="M2" s="36"/>
      <c r="N2" s="36"/>
      <c r="O2" s="37">
        <v>2</v>
      </c>
      <c r="P2" s="37"/>
      <c r="Q2" s="36"/>
      <c r="R2" s="37"/>
      <c r="S2" s="37">
        <v>3</v>
      </c>
      <c r="T2" s="37"/>
      <c r="U2" s="36"/>
      <c r="V2" s="37"/>
      <c r="W2" s="37">
        <v>4</v>
      </c>
      <c r="X2" s="37"/>
      <c r="Y2" s="37"/>
      <c r="Z2" s="37"/>
      <c r="AA2" s="37">
        <v>5</v>
      </c>
      <c r="AB2" s="37"/>
      <c r="AC2" s="37"/>
      <c r="AD2" s="37"/>
      <c r="AE2" s="37"/>
      <c r="AF2" s="37"/>
      <c r="AG2" s="37"/>
      <c r="AH2" s="8"/>
      <c r="AI2" s="36"/>
    </row>
    <row r="3" spans="1:35" ht="14" hidden="1" customHeight="1" thickBot="1" x14ac:dyDescent="0.25">
      <c r="A3" s="8"/>
      <c r="B3" s="8"/>
      <c r="C3" s="26"/>
      <c r="D3" s="26"/>
      <c r="E3" s="26"/>
      <c r="F3" s="26"/>
      <c r="G3" s="26"/>
      <c r="H3" s="26"/>
      <c r="I3" s="36" t="s">
        <v>77</v>
      </c>
      <c r="J3" s="36"/>
      <c r="K3" s="36" t="s">
        <v>76</v>
      </c>
      <c r="L3" s="36"/>
      <c r="M3" s="36"/>
      <c r="N3" s="36"/>
      <c r="O3" s="36" t="s">
        <v>76</v>
      </c>
      <c r="P3" s="36"/>
      <c r="Q3" s="36"/>
      <c r="R3" s="36"/>
      <c r="S3" s="36" t="s">
        <v>76</v>
      </c>
      <c r="T3" s="36"/>
      <c r="U3" s="36"/>
      <c r="V3" s="36"/>
      <c r="W3" s="36" t="s">
        <v>76</v>
      </c>
      <c r="X3" s="36"/>
      <c r="Y3" s="36"/>
      <c r="Z3" s="36"/>
      <c r="AA3" s="36" t="s">
        <v>76</v>
      </c>
      <c r="AB3" s="36"/>
      <c r="AC3" s="36"/>
      <c r="AD3" s="36"/>
      <c r="AE3" s="36"/>
      <c r="AF3" s="36"/>
      <c r="AG3" s="36"/>
      <c r="AH3" s="8"/>
      <c r="AI3" s="36"/>
    </row>
    <row r="4" spans="1:35" ht="14" hidden="1" customHeight="1" thickBot="1" x14ac:dyDescent="0.25">
      <c r="A4" s="8"/>
      <c r="B4" s="8"/>
      <c r="C4" s="26"/>
      <c r="D4" s="26"/>
      <c r="E4" s="26"/>
      <c r="F4" s="26"/>
      <c r="G4" s="26"/>
      <c r="H4" s="26"/>
      <c r="I4" s="8"/>
      <c r="J4" s="36"/>
      <c r="K4" s="26" t="s">
        <v>97</v>
      </c>
      <c r="L4" s="36"/>
      <c r="M4" s="36"/>
      <c r="N4" s="36"/>
      <c r="O4" s="26" t="s">
        <v>96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ht="30" customHeight="1" thickBot="1" x14ac:dyDescent="0.25">
      <c r="A5" s="8"/>
      <c r="B5" s="8"/>
      <c r="C5" s="35"/>
      <c r="D5" s="35"/>
      <c r="E5" s="35"/>
      <c r="F5" s="35"/>
      <c r="G5" s="35"/>
      <c r="H5" s="32"/>
      <c r="I5" s="34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5"/>
      <c r="AI5" s="5"/>
    </row>
    <row r="6" spans="1:35" ht="10.25" customHeight="1" thickTop="1" x14ac:dyDescent="0.2">
      <c r="A6" s="8"/>
      <c r="B6" s="8"/>
      <c r="C6" s="30"/>
      <c r="D6" s="26"/>
      <c r="E6" s="8"/>
      <c r="F6" s="29"/>
      <c r="G6" s="29"/>
      <c r="H6" s="27"/>
      <c r="I6" s="28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6"/>
      <c r="AI6" s="5"/>
    </row>
    <row r="7" spans="1:35" ht="5" customHeight="1" x14ac:dyDescent="0.2">
      <c r="A7" s="8"/>
      <c r="B7" s="14"/>
      <c r="C7" s="25"/>
      <c r="D7" s="21"/>
      <c r="E7" s="1"/>
      <c r="F7" s="24"/>
      <c r="G7" s="24"/>
      <c r="H7" s="22"/>
      <c r="I7" s="2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1"/>
      <c r="AI7" s="5"/>
    </row>
    <row r="8" spans="1:35" s="14" customFormat="1" ht="14" x14ac:dyDescent="0.2">
      <c r="A8" s="20"/>
      <c r="C8" s="13"/>
      <c r="D8" s="13"/>
      <c r="E8" s="13"/>
      <c r="F8" s="13"/>
      <c r="G8" s="13"/>
      <c r="H8" s="13"/>
      <c r="I8" s="12"/>
      <c r="J8" s="15" t="s">
        <v>95</v>
      </c>
      <c r="K8" s="16"/>
      <c r="L8" s="16"/>
      <c r="M8" s="19"/>
      <c r="N8" s="17" t="s">
        <v>94</v>
      </c>
      <c r="O8" s="18"/>
      <c r="P8" s="17"/>
      <c r="Q8" s="17"/>
      <c r="R8" s="92" t="s">
        <v>93</v>
      </c>
      <c r="S8" s="93"/>
      <c r="T8" s="93"/>
      <c r="U8" s="94"/>
      <c r="V8" s="95" t="s">
        <v>92</v>
      </c>
      <c r="W8" s="96"/>
      <c r="X8" s="96"/>
      <c r="Y8" s="96"/>
      <c r="Z8" s="92" t="s">
        <v>91</v>
      </c>
      <c r="AA8" s="93"/>
      <c r="AB8" s="93"/>
      <c r="AC8" s="94"/>
      <c r="AD8" s="97" t="s">
        <v>90</v>
      </c>
      <c r="AE8" s="98"/>
      <c r="AF8" s="98"/>
      <c r="AG8" s="99"/>
      <c r="AI8" s="5"/>
    </row>
    <row r="9" spans="1:35" s="71" customFormat="1" ht="16" x14ac:dyDescent="0.2">
      <c r="A9" s="72"/>
      <c r="B9" s="73"/>
      <c r="C9" s="74"/>
      <c r="D9" s="74"/>
      <c r="E9" s="74"/>
      <c r="F9" s="74"/>
      <c r="G9" s="74"/>
      <c r="H9" s="75"/>
      <c r="I9" s="76"/>
      <c r="J9" s="77">
        <f>SUBTOTAL(109,J11:J132)</f>
        <v>771679.54942731583</v>
      </c>
      <c r="K9" s="77">
        <f>SUBTOTAL(109,K11:K132)</f>
        <v>546483.33999999973</v>
      </c>
      <c r="L9" s="78" t="s">
        <v>81</v>
      </c>
      <c r="M9" s="77">
        <f>SUBTOTAL(109,M11:M132)</f>
        <v>225196.20942731592</v>
      </c>
      <c r="N9" s="77">
        <f>SUBTOTAL(109,N11:N132)</f>
        <v>790363.08729231602</v>
      </c>
      <c r="O9" s="77">
        <f>SUBTOTAL(109,O11:O132)</f>
        <v>530174.43999999971</v>
      </c>
      <c r="P9" s="78" t="s">
        <v>81</v>
      </c>
      <c r="Q9" s="77">
        <f>SUBTOTAL(109,Q11:Q132)</f>
        <v>260188.64729231596</v>
      </c>
      <c r="R9" s="77">
        <f>SUBTOTAL(109,R11:R132)</f>
        <v>816781.57783231593</v>
      </c>
      <c r="S9" s="77">
        <f>SUBTOTAL(109,S11:S132)</f>
        <v>774027.83999999985</v>
      </c>
      <c r="T9" s="78" t="s">
        <v>81</v>
      </c>
      <c r="U9" s="77">
        <f>SUBTOTAL(109,U11:U132)</f>
        <v>42753.737832315994</v>
      </c>
      <c r="V9" s="77">
        <f>SUBTOTAL(109,V11:V132)</f>
        <v>817148.6205952788</v>
      </c>
      <c r="W9" s="77">
        <f>SUBTOTAL(109,W11:W132)</f>
        <v>711183.93</v>
      </c>
      <c r="X9" s="78" t="s">
        <v>81</v>
      </c>
      <c r="Y9" s="77">
        <f>SUBTOTAL(109,Y11:Y132)</f>
        <v>105964.69059527885</v>
      </c>
      <c r="Z9" s="77">
        <f>SUBTOTAL(109,Z11:Z132)</f>
        <v>848395.51763357082</v>
      </c>
      <c r="AA9" s="77">
        <f>SUBTOTAL(109,AA11:AA132)</f>
        <v>902754.94999999984</v>
      </c>
      <c r="AB9" s="78" t="s">
        <v>81</v>
      </c>
      <c r="AC9" s="77">
        <f>SUBTOTAL(109,AC11:AC132)</f>
        <v>-54359.432366428868</v>
      </c>
      <c r="AD9" s="77">
        <f>SUBTOTAL(109,AD11:AD132)</f>
        <v>4044368.3527807985</v>
      </c>
      <c r="AE9" s="77">
        <f>SUBTOTAL(109,AE11:AE132)</f>
        <v>3464624.4999999995</v>
      </c>
      <c r="AF9" s="78" t="s">
        <v>81</v>
      </c>
      <c r="AG9" s="77">
        <f>SUBTOTAL(109,AG11:AG132)</f>
        <v>579743.85278079833</v>
      </c>
      <c r="AI9" s="5"/>
    </row>
    <row r="10" spans="1:35" s="9" customFormat="1" ht="14" x14ac:dyDescent="0.2">
      <c r="A10" s="11"/>
      <c r="C10" s="49" t="s">
        <v>80</v>
      </c>
      <c r="D10" s="49" t="s">
        <v>99</v>
      </c>
      <c r="E10" s="49" t="s">
        <v>706</v>
      </c>
      <c r="F10" s="49" t="s">
        <v>708</v>
      </c>
      <c r="G10" s="49" t="s">
        <v>79</v>
      </c>
      <c r="H10" s="49" t="s">
        <v>78</v>
      </c>
      <c r="I10" s="51" t="s">
        <v>705</v>
      </c>
      <c r="J10" s="10" t="s">
        <v>666</v>
      </c>
      <c r="K10" s="10" t="s">
        <v>668</v>
      </c>
      <c r="L10" s="10" t="s">
        <v>678</v>
      </c>
      <c r="M10" s="10" t="s">
        <v>75</v>
      </c>
      <c r="N10" s="10" t="s">
        <v>677</v>
      </c>
      <c r="O10" s="10" t="s">
        <v>676</v>
      </c>
      <c r="P10" s="10" t="s">
        <v>678</v>
      </c>
      <c r="Q10" s="10" t="s">
        <v>75</v>
      </c>
      <c r="R10" s="10" t="s">
        <v>675</v>
      </c>
      <c r="S10" s="10" t="s">
        <v>674</v>
      </c>
      <c r="T10" s="10" t="s">
        <v>678</v>
      </c>
      <c r="U10" s="10" t="s">
        <v>75</v>
      </c>
      <c r="V10" s="10" t="s">
        <v>673</v>
      </c>
      <c r="W10" s="10" t="s">
        <v>671</v>
      </c>
      <c r="X10" s="10" t="s">
        <v>678</v>
      </c>
      <c r="Y10" s="10" t="s">
        <v>75</v>
      </c>
      <c r="Z10" s="10" t="s">
        <v>672</v>
      </c>
      <c r="AA10" s="10" t="s">
        <v>670</v>
      </c>
      <c r="AB10" s="10" t="s">
        <v>678</v>
      </c>
      <c r="AC10" s="10" t="s">
        <v>75</v>
      </c>
      <c r="AD10" s="10" t="s">
        <v>667</v>
      </c>
      <c r="AE10" s="10" t="s">
        <v>669</v>
      </c>
      <c r="AF10" s="10" t="s">
        <v>678</v>
      </c>
      <c r="AG10" s="10" t="s">
        <v>75</v>
      </c>
      <c r="AI10" s="5"/>
    </row>
    <row r="11" spans="1:35" ht="14" x14ac:dyDescent="0.2">
      <c r="A11" s="8"/>
      <c r="B11" s="1"/>
      <c r="C11" s="87">
        <v>1000</v>
      </c>
      <c r="D11" s="87" t="s">
        <v>70</v>
      </c>
      <c r="E11" s="87">
        <v>1003</v>
      </c>
      <c r="F11" s="87" t="s">
        <v>72</v>
      </c>
      <c r="G11" s="87" t="s">
        <v>1</v>
      </c>
      <c r="H11" s="87" t="s">
        <v>72</v>
      </c>
      <c r="I11" s="88" t="s">
        <v>74</v>
      </c>
      <c r="J11" s="6">
        <v>20000</v>
      </c>
      <c r="K11" s="6">
        <v>26300.71</v>
      </c>
      <c r="L11" s="7">
        <f t="shared" ref="L11:L13" si="0">IFERROR(K11/J11*1,"0%")-1</f>
        <v>0.31503550000000002</v>
      </c>
      <c r="M11" s="6">
        <f t="shared" ref="M11:M13" si="1">J11-K11</f>
        <v>-6300.7099999999991</v>
      </c>
      <c r="N11" s="6">
        <v>20000</v>
      </c>
      <c r="O11" s="6">
        <v>13036.2</v>
      </c>
      <c r="P11" s="7">
        <f t="shared" ref="P11:P13" si="2">IFERROR(O11/N11*1,"0%")-1</f>
        <v>-0.34819</v>
      </c>
      <c r="Q11" s="6">
        <f t="shared" ref="Q11:Q13" si="3">N11-O11</f>
        <v>6963.7999999999993</v>
      </c>
      <c r="R11" s="6">
        <v>20000</v>
      </c>
      <c r="S11" s="6">
        <v>40443.849999999991</v>
      </c>
      <c r="T11" s="7">
        <f t="shared" ref="T11:T13" si="4">IFERROR(S11/R11*1,"0%")-1</f>
        <v>1.0221924999999996</v>
      </c>
      <c r="U11" s="6">
        <f t="shared" ref="U11:U13" si="5">R11-S11</f>
        <v>-20443.849999999991</v>
      </c>
      <c r="V11" s="6">
        <v>20000</v>
      </c>
      <c r="W11" s="6">
        <v>0</v>
      </c>
      <c r="X11" s="7">
        <f t="shared" ref="X11:X13" si="6">IFERROR(W11/V11*1,"0%")-1</f>
        <v>-1</v>
      </c>
      <c r="Y11" s="6">
        <f t="shared" ref="Y11:Y13" si="7">V11-W11</f>
        <v>20000</v>
      </c>
      <c r="Z11" s="6">
        <v>15000</v>
      </c>
      <c r="AA11" s="6">
        <v>24891.360000000004</v>
      </c>
      <c r="AB11" s="7">
        <f t="shared" ref="AB11:AB13" si="8">IFERROR(AA11/Z11*1,"0%")-1</f>
        <v>0.65942400000000023</v>
      </c>
      <c r="AC11" s="6">
        <f t="shared" ref="AC11:AC13" si="9">Z11-AA11</f>
        <v>-9891.3600000000042</v>
      </c>
      <c r="AD11" s="6">
        <f t="shared" ref="AD11:AD13" si="10">J11+N11+R11+V11+Z11</f>
        <v>95000</v>
      </c>
      <c r="AE11" s="6">
        <f t="shared" ref="AE11:AE13" si="11">K11+O11+S11+W11+AA11</f>
        <v>104672.12</v>
      </c>
      <c r="AF11" s="7">
        <f t="shared" ref="AF11:AF13" si="12">IFERROR(AE11/AD11*1,"0%")-1</f>
        <v>0.10181178947368408</v>
      </c>
      <c r="AG11" s="6">
        <f t="shared" ref="AG11:AG13" si="13">AD11-AE11</f>
        <v>-9672.1199999999953</v>
      </c>
      <c r="AI11" s="5"/>
    </row>
    <row r="12" spans="1:35" ht="14" x14ac:dyDescent="0.2">
      <c r="A12" s="8"/>
      <c r="B12" s="1"/>
      <c r="C12" s="87">
        <v>1000</v>
      </c>
      <c r="D12" s="87" t="s">
        <v>70</v>
      </c>
      <c r="E12" s="87">
        <v>1003</v>
      </c>
      <c r="F12" s="87" t="s">
        <v>72</v>
      </c>
      <c r="G12" s="87" t="s">
        <v>1</v>
      </c>
      <c r="H12" s="87" t="s">
        <v>72</v>
      </c>
      <c r="I12" s="88" t="s">
        <v>73</v>
      </c>
      <c r="J12" s="6">
        <v>600</v>
      </c>
      <c r="K12" s="6">
        <v>0</v>
      </c>
      <c r="L12" s="7">
        <f t="shared" si="0"/>
        <v>-1</v>
      </c>
      <c r="M12" s="6">
        <f t="shared" si="1"/>
        <v>600</v>
      </c>
      <c r="N12" s="6">
        <v>600</v>
      </c>
      <c r="O12" s="6">
        <v>0</v>
      </c>
      <c r="P12" s="7">
        <f t="shared" si="2"/>
        <v>-1</v>
      </c>
      <c r="Q12" s="6">
        <f t="shared" si="3"/>
        <v>600</v>
      </c>
      <c r="R12" s="6">
        <v>600</v>
      </c>
      <c r="S12" s="6">
        <v>0</v>
      </c>
      <c r="T12" s="7">
        <f t="shared" si="4"/>
        <v>-1</v>
      </c>
      <c r="U12" s="6">
        <f t="shared" si="5"/>
        <v>600</v>
      </c>
      <c r="V12" s="6">
        <v>600</v>
      </c>
      <c r="W12" s="6">
        <v>0</v>
      </c>
      <c r="X12" s="7">
        <f t="shared" si="6"/>
        <v>-1</v>
      </c>
      <c r="Y12" s="6">
        <f t="shared" si="7"/>
        <v>600</v>
      </c>
      <c r="Z12" s="6">
        <v>600</v>
      </c>
      <c r="AA12" s="6">
        <v>0</v>
      </c>
      <c r="AB12" s="7">
        <f t="shared" si="8"/>
        <v>-1</v>
      </c>
      <c r="AC12" s="6">
        <f t="shared" si="9"/>
        <v>600</v>
      </c>
      <c r="AD12" s="6">
        <f t="shared" si="10"/>
        <v>3000</v>
      </c>
      <c r="AE12" s="6">
        <f t="shared" si="11"/>
        <v>0</v>
      </c>
      <c r="AF12" s="7">
        <f t="shared" si="12"/>
        <v>-1</v>
      </c>
      <c r="AG12" s="6">
        <f t="shared" si="13"/>
        <v>3000</v>
      </c>
      <c r="AI12" s="5"/>
    </row>
    <row r="13" spans="1:35" ht="14" x14ac:dyDescent="0.2">
      <c r="A13" s="8"/>
      <c r="B13" s="1"/>
      <c r="C13" s="87">
        <v>1000</v>
      </c>
      <c r="D13" s="87" t="s">
        <v>70</v>
      </c>
      <c r="E13" s="87">
        <v>1003</v>
      </c>
      <c r="F13" s="87" t="s">
        <v>72</v>
      </c>
      <c r="G13" s="87" t="s">
        <v>1</v>
      </c>
      <c r="H13" s="87" t="s">
        <v>72</v>
      </c>
      <c r="I13" s="88" t="s">
        <v>71</v>
      </c>
      <c r="J13" s="6">
        <v>5000</v>
      </c>
      <c r="K13" s="6">
        <v>0</v>
      </c>
      <c r="L13" s="7">
        <f t="shared" si="0"/>
        <v>-1</v>
      </c>
      <c r="M13" s="6">
        <f t="shared" si="1"/>
        <v>5000</v>
      </c>
      <c r="N13" s="6">
        <v>5000</v>
      </c>
      <c r="O13" s="6">
        <v>0</v>
      </c>
      <c r="P13" s="7">
        <f t="shared" si="2"/>
        <v>-1</v>
      </c>
      <c r="Q13" s="6">
        <f t="shared" si="3"/>
        <v>5000</v>
      </c>
      <c r="R13" s="6">
        <v>5000</v>
      </c>
      <c r="S13" s="6">
        <v>3008.42</v>
      </c>
      <c r="T13" s="7">
        <f t="shared" si="4"/>
        <v>-0.398316</v>
      </c>
      <c r="U13" s="6">
        <f t="shared" si="5"/>
        <v>1991.58</v>
      </c>
      <c r="V13" s="6">
        <v>10000</v>
      </c>
      <c r="W13" s="6">
        <v>0</v>
      </c>
      <c r="X13" s="7">
        <f t="shared" si="6"/>
        <v>-1</v>
      </c>
      <c r="Y13" s="6">
        <f t="shared" si="7"/>
        <v>10000</v>
      </c>
      <c r="Z13" s="6">
        <v>10000</v>
      </c>
      <c r="AA13" s="6">
        <v>13478.42</v>
      </c>
      <c r="AB13" s="7">
        <f t="shared" si="8"/>
        <v>0.34784199999999998</v>
      </c>
      <c r="AC13" s="6">
        <f t="shared" si="9"/>
        <v>-3478.42</v>
      </c>
      <c r="AD13" s="6">
        <f t="shared" si="10"/>
        <v>35000</v>
      </c>
      <c r="AE13" s="6">
        <f t="shared" si="11"/>
        <v>16486.84</v>
      </c>
      <c r="AF13" s="7">
        <f t="shared" si="12"/>
        <v>-0.52894742857142862</v>
      </c>
      <c r="AG13" s="6">
        <f t="shared" si="13"/>
        <v>18513.16</v>
      </c>
      <c r="AI13" s="5"/>
    </row>
    <row r="14" spans="1:35" ht="14" x14ac:dyDescent="0.2">
      <c r="A14" s="8"/>
      <c r="B14" s="1"/>
      <c r="C14" s="87">
        <v>1159</v>
      </c>
      <c r="D14" s="87" t="s">
        <v>14</v>
      </c>
      <c r="E14" s="87">
        <v>1150</v>
      </c>
      <c r="F14" s="87" t="s">
        <v>15</v>
      </c>
      <c r="G14" s="87" t="s">
        <v>1</v>
      </c>
      <c r="H14" s="87" t="s">
        <v>44</v>
      </c>
      <c r="I14" s="89" t="s">
        <v>43</v>
      </c>
      <c r="J14" s="6">
        <v>200</v>
      </c>
      <c r="K14" s="6">
        <v>0</v>
      </c>
      <c r="L14" s="7">
        <f t="shared" ref="L14:L47" si="14">IFERROR(K14/J14*1,"0%")-1</f>
        <v>-1</v>
      </c>
      <c r="M14" s="6">
        <f t="shared" ref="M14:M47" si="15">J14-K14</f>
        <v>200</v>
      </c>
      <c r="N14" s="6">
        <v>200</v>
      </c>
      <c r="O14" s="6">
        <v>0</v>
      </c>
      <c r="P14" s="7">
        <f t="shared" ref="P14:P47" si="16">IFERROR(O14/N14*1,"0%")-1</f>
        <v>-1</v>
      </c>
      <c r="Q14" s="6">
        <f t="shared" ref="Q14:Q47" si="17">N14-O14</f>
        <v>200</v>
      </c>
      <c r="R14" s="6">
        <v>200</v>
      </c>
      <c r="S14" s="6">
        <v>415</v>
      </c>
      <c r="T14" s="7">
        <f t="shared" ref="T14:T47" si="18">IFERROR(S14/R14*1,"0%")-1</f>
        <v>1.0750000000000002</v>
      </c>
      <c r="U14" s="6">
        <f t="shared" ref="U14:U47" si="19">R14-S14</f>
        <v>-215</v>
      </c>
      <c r="V14" s="6">
        <v>200</v>
      </c>
      <c r="W14" s="6">
        <v>0</v>
      </c>
      <c r="X14" s="7">
        <f t="shared" ref="X14:X47" si="20">IFERROR(W14/V14*1,"0%")-1</f>
        <v>-1</v>
      </c>
      <c r="Y14" s="6">
        <f t="shared" ref="Y14:Y47" si="21">V14-W14</f>
        <v>200</v>
      </c>
      <c r="Z14" s="6">
        <v>200</v>
      </c>
      <c r="AA14" s="6">
        <v>134</v>
      </c>
      <c r="AB14" s="7">
        <f t="shared" ref="AB14:AB47" si="22">IFERROR(AA14/Z14*1,"0%")-1</f>
        <v>-0.32999999999999996</v>
      </c>
      <c r="AC14" s="6">
        <f t="shared" ref="AC14:AC47" si="23">Z14-AA14</f>
        <v>66</v>
      </c>
      <c r="AD14" s="6">
        <f t="shared" ref="AD14:AD47" si="24">J14+N14+R14+V14+Z14</f>
        <v>1000</v>
      </c>
      <c r="AE14" s="6">
        <f t="shared" ref="AE14:AE47" si="25">K14+O14+S14+W14+AA14</f>
        <v>549</v>
      </c>
      <c r="AF14" s="7">
        <f t="shared" ref="AF14:AF47" si="26">IFERROR(AE14/AD14*1,"0%")-1</f>
        <v>-0.45099999999999996</v>
      </c>
      <c r="AG14" s="6">
        <f t="shared" ref="AG14:AG47" si="27">AD14-AE14</f>
        <v>451</v>
      </c>
      <c r="AI14" s="5"/>
    </row>
    <row r="15" spans="1:35" ht="14" x14ac:dyDescent="0.2">
      <c r="A15" s="8"/>
      <c r="B15" s="1"/>
      <c r="C15" s="87">
        <v>1159</v>
      </c>
      <c r="D15" s="87" t="s">
        <v>14</v>
      </c>
      <c r="E15" s="87">
        <v>1150</v>
      </c>
      <c r="F15" s="87" t="s">
        <v>15</v>
      </c>
      <c r="G15" s="87" t="s">
        <v>1</v>
      </c>
      <c r="H15" s="87" t="s">
        <v>0</v>
      </c>
      <c r="I15" s="89" t="s">
        <v>51</v>
      </c>
      <c r="J15" s="6">
        <v>5000</v>
      </c>
      <c r="K15" s="6">
        <v>0</v>
      </c>
      <c r="L15" s="7">
        <f t="shared" si="14"/>
        <v>-1</v>
      </c>
      <c r="M15" s="6">
        <f t="shared" si="15"/>
        <v>5000</v>
      </c>
      <c r="N15" s="6">
        <v>5000</v>
      </c>
      <c r="O15" s="6">
        <v>0</v>
      </c>
      <c r="P15" s="7">
        <f t="shared" si="16"/>
        <v>-1</v>
      </c>
      <c r="Q15" s="6">
        <f t="shared" si="17"/>
        <v>5000</v>
      </c>
      <c r="R15" s="6">
        <v>5000</v>
      </c>
      <c r="S15" s="6">
        <v>0</v>
      </c>
      <c r="T15" s="7">
        <f t="shared" si="18"/>
        <v>-1</v>
      </c>
      <c r="U15" s="6">
        <f t="shared" si="19"/>
        <v>5000</v>
      </c>
      <c r="V15" s="6">
        <v>5000</v>
      </c>
      <c r="W15" s="6">
        <v>0</v>
      </c>
      <c r="X15" s="7">
        <f t="shared" si="20"/>
        <v>-1</v>
      </c>
      <c r="Y15" s="6">
        <f t="shared" si="21"/>
        <v>5000</v>
      </c>
      <c r="Z15" s="6">
        <v>5000</v>
      </c>
      <c r="AA15" s="6">
        <v>0</v>
      </c>
      <c r="AB15" s="7">
        <f t="shared" si="22"/>
        <v>-1</v>
      </c>
      <c r="AC15" s="6">
        <f t="shared" si="23"/>
        <v>5000</v>
      </c>
      <c r="AD15" s="6">
        <f t="shared" si="24"/>
        <v>25000</v>
      </c>
      <c r="AE15" s="6">
        <f t="shared" si="25"/>
        <v>0</v>
      </c>
      <c r="AF15" s="7">
        <f t="shared" si="26"/>
        <v>-1</v>
      </c>
      <c r="AG15" s="6">
        <f t="shared" si="27"/>
        <v>25000</v>
      </c>
      <c r="AI15" s="5"/>
    </row>
    <row r="16" spans="1:35" ht="14" x14ac:dyDescent="0.2">
      <c r="A16" s="8"/>
      <c r="B16" s="1"/>
      <c r="C16" s="87">
        <v>1159</v>
      </c>
      <c r="D16" s="87" t="s">
        <v>14</v>
      </c>
      <c r="E16" s="87">
        <v>1150</v>
      </c>
      <c r="F16" s="87" t="s">
        <v>15</v>
      </c>
      <c r="G16" s="87" t="s">
        <v>1</v>
      </c>
      <c r="H16" s="87" t="s">
        <v>0</v>
      </c>
      <c r="I16" s="89" t="s">
        <v>62</v>
      </c>
      <c r="J16" s="6">
        <v>3023.6305000000002</v>
      </c>
      <c r="K16" s="6">
        <v>9393.56</v>
      </c>
      <c r="L16" s="7">
        <f t="shared" si="14"/>
        <v>2.1067155857833817</v>
      </c>
      <c r="M16" s="6">
        <f t="shared" si="15"/>
        <v>-6369.9294999999993</v>
      </c>
      <c r="N16" s="6">
        <v>3023.6305000000002</v>
      </c>
      <c r="O16" s="6">
        <v>1199.68</v>
      </c>
      <c r="P16" s="7">
        <f t="shared" si="16"/>
        <v>-0.603231942527369</v>
      </c>
      <c r="Q16" s="6">
        <f t="shared" si="17"/>
        <v>1823.9505000000001</v>
      </c>
      <c r="R16" s="6">
        <v>3023.6305000000002</v>
      </c>
      <c r="S16" s="6">
        <v>8539.1200000000008</v>
      </c>
      <c r="T16" s="7">
        <f t="shared" si="18"/>
        <v>1.8241281466105068</v>
      </c>
      <c r="U16" s="6">
        <f t="shared" si="19"/>
        <v>-5515.4895000000006</v>
      </c>
      <c r="V16" s="6">
        <v>3023.6305000000002</v>
      </c>
      <c r="W16" s="6">
        <v>5896.17</v>
      </c>
      <c r="X16" s="7">
        <f t="shared" si="20"/>
        <v>0.95002993917411516</v>
      </c>
      <c r="Y16" s="6">
        <f t="shared" si="21"/>
        <v>-2872.5394999999999</v>
      </c>
      <c r="Z16" s="6">
        <v>3023.6305000000002</v>
      </c>
      <c r="AA16" s="6">
        <v>3357.18</v>
      </c>
      <c r="AB16" s="7">
        <f t="shared" si="22"/>
        <v>0.11031423978558208</v>
      </c>
      <c r="AC16" s="6">
        <f t="shared" si="23"/>
        <v>-333.54949999999963</v>
      </c>
      <c r="AD16" s="6">
        <f t="shared" si="24"/>
        <v>15118.1525</v>
      </c>
      <c r="AE16" s="6">
        <f t="shared" si="25"/>
        <v>28385.71</v>
      </c>
      <c r="AF16" s="7">
        <f t="shared" si="26"/>
        <v>0.87759119376524342</v>
      </c>
      <c r="AG16" s="6">
        <f t="shared" si="27"/>
        <v>-13267.557499999999</v>
      </c>
      <c r="AI16" s="5"/>
    </row>
    <row r="17" spans="1:35" ht="14" x14ac:dyDescent="0.2">
      <c r="A17" s="8"/>
      <c r="B17" s="1"/>
      <c r="C17" s="87">
        <v>1159</v>
      </c>
      <c r="D17" s="87" t="s">
        <v>14</v>
      </c>
      <c r="E17" s="87">
        <v>1150</v>
      </c>
      <c r="F17" s="87" t="s">
        <v>15</v>
      </c>
      <c r="G17" s="87" t="s">
        <v>1</v>
      </c>
      <c r="H17" s="87" t="s">
        <v>66</v>
      </c>
      <c r="I17" s="89" t="s">
        <v>67</v>
      </c>
      <c r="J17" s="6">
        <v>140000</v>
      </c>
      <c r="K17" s="6">
        <v>122138.92</v>
      </c>
      <c r="L17" s="7">
        <f t="shared" si="14"/>
        <v>-0.12757914285714289</v>
      </c>
      <c r="M17" s="6">
        <f t="shared" si="15"/>
        <v>17861.080000000002</v>
      </c>
      <c r="N17" s="6">
        <v>140000</v>
      </c>
      <c r="O17" s="6">
        <v>134566.62</v>
      </c>
      <c r="P17" s="7">
        <f t="shared" si="16"/>
        <v>-3.8809857142857229E-2</v>
      </c>
      <c r="Q17" s="6">
        <f t="shared" si="17"/>
        <v>5433.3800000000047</v>
      </c>
      <c r="R17" s="6">
        <v>150000</v>
      </c>
      <c r="S17" s="6">
        <v>131058.27</v>
      </c>
      <c r="T17" s="7">
        <f t="shared" si="18"/>
        <v>-0.12627820000000001</v>
      </c>
      <c r="U17" s="6">
        <f t="shared" si="19"/>
        <v>18941.729999999996</v>
      </c>
      <c r="V17" s="6">
        <v>140000</v>
      </c>
      <c r="W17" s="6">
        <v>133702.95000000001</v>
      </c>
      <c r="X17" s="7">
        <f t="shared" si="20"/>
        <v>-4.4978928571428489E-2</v>
      </c>
      <c r="Y17" s="6">
        <f t="shared" si="21"/>
        <v>6297.0499999999884</v>
      </c>
      <c r="Z17" s="6">
        <v>140000</v>
      </c>
      <c r="AA17" s="6">
        <v>222300.09</v>
      </c>
      <c r="AB17" s="7">
        <f t="shared" si="22"/>
        <v>0.58785778571428571</v>
      </c>
      <c r="AC17" s="6">
        <f t="shared" si="23"/>
        <v>-82300.09</v>
      </c>
      <c r="AD17" s="6">
        <f t="shared" si="24"/>
        <v>710000</v>
      </c>
      <c r="AE17" s="6">
        <f t="shared" si="25"/>
        <v>743766.85</v>
      </c>
      <c r="AF17" s="7">
        <f t="shared" si="26"/>
        <v>4.7558943661971886E-2</v>
      </c>
      <c r="AG17" s="6">
        <f t="shared" si="27"/>
        <v>-33766.849999999977</v>
      </c>
      <c r="AI17" s="5"/>
    </row>
    <row r="18" spans="1:35" ht="14" x14ac:dyDescent="0.2">
      <c r="A18" s="8"/>
      <c r="B18" s="1"/>
      <c r="C18" s="87">
        <v>1159</v>
      </c>
      <c r="D18" s="87" t="s">
        <v>14</v>
      </c>
      <c r="E18" s="87">
        <v>1150</v>
      </c>
      <c r="F18" s="87" t="s">
        <v>15</v>
      </c>
      <c r="G18" s="87" t="s">
        <v>1</v>
      </c>
      <c r="H18" s="87" t="s">
        <v>66</v>
      </c>
      <c r="I18" s="89" t="s">
        <v>68</v>
      </c>
      <c r="J18" s="6">
        <v>150000</v>
      </c>
      <c r="K18" s="6">
        <v>3305.79</v>
      </c>
      <c r="L18" s="7">
        <f t="shared" si="14"/>
        <v>-0.97796139999999998</v>
      </c>
      <c r="M18" s="6">
        <f t="shared" si="15"/>
        <v>146694.21</v>
      </c>
      <c r="N18" s="6">
        <v>150000</v>
      </c>
      <c r="O18" s="6">
        <v>27888.57</v>
      </c>
      <c r="P18" s="7">
        <f t="shared" si="16"/>
        <v>-0.81407620000000003</v>
      </c>
      <c r="Q18" s="6">
        <f t="shared" si="17"/>
        <v>122111.43</v>
      </c>
      <c r="R18" s="6">
        <v>150000</v>
      </c>
      <c r="S18" s="6">
        <v>55691.07</v>
      </c>
      <c r="T18" s="7">
        <f t="shared" si="18"/>
        <v>-0.62872620000000001</v>
      </c>
      <c r="U18" s="6">
        <f t="shared" si="19"/>
        <v>94308.93</v>
      </c>
      <c r="V18" s="6">
        <v>100000</v>
      </c>
      <c r="W18" s="6">
        <v>2626.99</v>
      </c>
      <c r="X18" s="7">
        <f t="shared" si="20"/>
        <v>-0.97373010000000004</v>
      </c>
      <c r="Y18" s="6">
        <f t="shared" si="21"/>
        <v>97373.01</v>
      </c>
      <c r="Z18" s="6">
        <v>100000</v>
      </c>
      <c r="AA18" s="6">
        <v>162080.87</v>
      </c>
      <c r="AB18" s="7">
        <f t="shared" si="22"/>
        <v>0.62080869999999999</v>
      </c>
      <c r="AC18" s="6">
        <f t="shared" si="23"/>
        <v>-62080.869999999995</v>
      </c>
      <c r="AD18" s="6">
        <f t="shared" si="24"/>
        <v>650000</v>
      </c>
      <c r="AE18" s="6">
        <f t="shared" si="25"/>
        <v>251593.28999999998</v>
      </c>
      <c r="AF18" s="7">
        <f t="shared" si="26"/>
        <v>-0.61293339999999996</v>
      </c>
      <c r="AG18" s="6">
        <f t="shared" si="27"/>
        <v>398406.71</v>
      </c>
      <c r="AI18" s="5"/>
    </row>
    <row r="19" spans="1:35" ht="14" x14ac:dyDescent="0.2">
      <c r="A19" s="8"/>
      <c r="B19" s="1"/>
      <c r="C19" s="87">
        <v>1159</v>
      </c>
      <c r="D19" s="87" t="s">
        <v>14</v>
      </c>
      <c r="E19" s="87">
        <v>1150</v>
      </c>
      <c r="F19" s="87" t="s">
        <v>15</v>
      </c>
      <c r="G19" s="87" t="s">
        <v>1</v>
      </c>
      <c r="H19" s="87" t="s">
        <v>66</v>
      </c>
      <c r="I19" s="89" t="s">
        <v>69</v>
      </c>
      <c r="J19" s="6">
        <v>10000</v>
      </c>
      <c r="K19" s="6">
        <v>0</v>
      </c>
      <c r="L19" s="7">
        <f t="shared" si="14"/>
        <v>-1</v>
      </c>
      <c r="M19" s="6">
        <f t="shared" si="15"/>
        <v>10000</v>
      </c>
      <c r="N19" s="6">
        <v>15000</v>
      </c>
      <c r="O19" s="6">
        <v>0</v>
      </c>
      <c r="P19" s="7">
        <f t="shared" si="16"/>
        <v>-1</v>
      </c>
      <c r="Q19" s="6">
        <f t="shared" si="17"/>
        <v>15000</v>
      </c>
      <c r="R19" s="6">
        <v>30000</v>
      </c>
      <c r="S19" s="6">
        <v>0</v>
      </c>
      <c r="T19" s="7">
        <f t="shared" si="18"/>
        <v>-1</v>
      </c>
      <c r="U19" s="6">
        <f t="shared" si="19"/>
        <v>30000</v>
      </c>
      <c r="V19" s="6">
        <v>10000</v>
      </c>
      <c r="W19" s="6">
        <v>0</v>
      </c>
      <c r="X19" s="7">
        <f t="shared" si="20"/>
        <v>-1</v>
      </c>
      <c r="Y19" s="6">
        <f t="shared" si="21"/>
        <v>10000</v>
      </c>
      <c r="Z19" s="6">
        <v>30000</v>
      </c>
      <c r="AA19" s="6">
        <v>0</v>
      </c>
      <c r="AB19" s="7">
        <f t="shared" si="22"/>
        <v>-1</v>
      </c>
      <c r="AC19" s="6">
        <f t="shared" si="23"/>
        <v>30000</v>
      </c>
      <c r="AD19" s="6">
        <f t="shared" si="24"/>
        <v>95000</v>
      </c>
      <c r="AE19" s="6">
        <f t="shared" si="25"/>
        <v>0</v>
      </c>
      <c r="AF19" s="7">
        <f t="shared" si="26"/>
        <v>-1</v>
      </c>
      <c r="AG19" s="6">
        <f t="shared" si="27"/>
        <v>95000</v>
      </c>
      <c r="AI19" s="5"/>
    </row>
    <row r="20" spans="1:35" ht="14" x14ac:dyDescent="0.2">
      <c r="A20" s="8"/>
      <c r="B20" s="1"/>
      <c r="C20" s="87">
        <v>1159</v>
      </c>
      <c r="D20" s="87" t="s">
        <v>14</v>
      </c>
      <c r="E20" s="87">
        <v>1150</v>
      </c>
      <c r="F20" s="87" t="s">
        <v>15</v>
      </c>
      <c r="G20" s="87" t="s">
        <v>1</v>
      </c>
      <c r="H20" s="87" t="s">
        <v>66</v>
      </c>
      <c r="I20" s="89" t="s">
        <v>65</v>
      </c>
      <c r="J20" s="6">
        <v>29671.843625000001</v>
      </c>
      <c r="K20" s="6">
        <v>10337.049999999999</v>
      </c>
      <c r="L20" s="7">
        <f t="shared" si="14"/>
        <v>-0.65162090597934663</v>
      </c>
      <c r="M20" s="6">
        <f t="shared" si="15"/>
        <v>19334.793625000002</v>
      </c>
      <c r="N20" s="6">
        <v>34671.843625000001</v>
      </c>
      <c r="O20" s="6">
        <v>15720.03</v>
      </c>
      <c r="P20" s="7">
        <f t="shared" si="16"/>
        <v>-0.54660530400335761</v>
      </c>
      <c r="Q20" s="6">
        <f t="shared" si="17"/>
        <v>18951.813625000003</v>
      </c>
      <c r="R20" s="6">
        <v>29671.843625000001</v>
      </c>
      <c r="S20" s="6">
        <v>17221.79</v>
      </c>
      <c r="T20" s="7">
        <f t="shared" si="18"/>
        <v>-0.41959150844641857</v>
      </c>
      <c r="U20" s="6">
        <f t="shared" si="19"/>
        <v>12450.053625</v>
      </c>
      <c r="V20" s="6">
        <v>29671.843625000001</v>
      </c>
      <c r="W20" s="6">
        <v>13984.25</v>
      </c>
      <c r="X20" s="7">
        <f t="shared" si="20"/>
        <v>-0.52870302982395145</v>
      </c>
      <c r="Y20" s="6">
        <f t="shared" si="21"/>
        <v>15687.593625000001</v>
      </c>
      <c r="Z20" s="6">
        <v>35000</v>
      </c>
      <c r="AA20" s="6">
        <v>8716.2000000000007</v>
      </c>
      <c r="AB20" s="7">
        <f t="shared" si="22"/>
        <v>-0.75096571428571424</v>
      </c>
      <c r="AC20" s="6">
        <f t="shared" si="23"/>
        <v>26283.8</v>
      </c>
      <c r="AD20" s="6">
        <f t="shared" si="24"/>
        <v>158687.37450000001</v>
      </c>
      <c r="AE20" s="6">
        <f t="shared" si="25"/>
        <v>65979.320000000007</v>
      </c>
      <c r="AF20" s="7">
        <f t="shared" si="26"/>
        <v>-0.58421821390711837</v>
      </c>
      <c r="AG20" s="6">
        <f t="shared" si="27"/>
        <v>92708.054499999998</v>
      </c>
      <c r="AI20" s="5"/>
    </row>
    <row r="21" spans="1:35" ht="14" x14ac:dyDescent="0.2">
      <c r="A21" s="8"/>
      <c r="B21" s="1"/>
      <c r="C21" s="87">
        <v>1159</v>
      </c>
      <c r="D21" s="87" t="s">
        <v>14</v>
      </c>
      <c r="E21" s="87">
        <v>1150</v>
      </c>
      <c r="F21" s="87" t="s">
        <v>15</v>
      </c>
      <c r="G21" s="87" t="s">
        <v>1</v>
      </c>
      <c r="H21" s="87" t="s">
        <v>46</v>
      </c>
      <c r="I21" s="89" t="s">
        <v>48</v>
      </c>
      <c r="J21" s="6">
        <v>2500</v>
      </c>
      <c r="K21" s="6">
        <v>79.02</v>
      </c>
      <c r="L21" s="7">
        <f t="shared" si="14"/>
        <v>-0.96839200000000003</v>
      </c>
      <c r="M21" s="6">
        <f t="shared" si="15"/>
        <v>2420.98</v>
      </c>
      <c r="N21" s="6">
        <v>2000</v>
      </c>
      <c r="O21" s="6">
        <v>0</v>
      </c>
      <c r="P21" s="7">
        <f t="shared" si="16"/>
        <v>-1</v>
      </c>
      <c r="Q21" s="6">
        <f t="shared" si="17"/>
        <v>2000</v>
      </c>
      <c r="R21" s="6">
        <v>2000</v>
      </c>
      <c r="S21" s="6">
        <v>0</v>
      </c>
      <c r="T21" s="7">
        <f t="shared" si="18"/>
        <v>-1</v>
      </c>
      <c r="U21" s="6">
        <f t="shared" si="19"/>
        <v>2000</v>
      </c>
      <c r="V21" s="6">
        <v>5000</v>
      </c>
      <c r="W21" s="6">
        <v>0</v>
      </c>
      <c r="X21" s="7">
        <f t="shared" si="20"/>
        <v>-1</v>
      </c>
      <c r="Y21" s="6">
        <f t="shared" si="21"/>
        <v>5000</v>
      </c>
      <c r="Z21" s="6">
        <v>2500</v>
      </c>
      <c r="AA21" s="6">
        <v>795.1</v>
      </c>
      <c r="AB21" s="7">
        <f t="shared" si="22"/>
        <v>-0.68196000000000001</v>
      </c>
      <c r="AC21" s="6">
        <f t="shared" si="23"/>
        <v>1704.9</v>
      </c>
      <c r="AD21" s="6">
        <f t="shared" si="24"/>
        <v>14000</v>
      </c>
      <c r="AE21" s="6">
        <f t="shared" si="25"/>
        <v>874.12</v>
      </c>
      <c r="AF21" s="7">
        <f t="shared" si="26"/>
        <v>-0.93756285714285714</v>
      </c>
      <c r="AG21" s="6">
        <f t="shared" si="27"/>
        <v>13125.88</v>
      </c>
      <c r="AI21" s="5"/>
    </row>
    <row r="22" spans="1:35" ht="14" x14ac:dyDescent="0.2">
      <c r="A22" s="8"/>
      <c r="B22" s="1"/>
      <c r="C22" s="87">
        <v>1159</v>
      </c>
      <c r="D22" s="87" t="s">
        <v>14</v>
      </c>
      <c r="E22" s="87">
        <v>1150</v>
      </c>
      <c r="F22" s="87" t="s">
        <v>15</v>
      </c>
      <c r="G22" s="87" t="s">
        <v>1</v>
      </c>
      <c r="H22" s="87" t="s">
        <v>41</v>
      </c>
      <c r="I22" s="89" t="s">
        <v>40</v>
      </c>
      <c r="J22" s="6">
        <v>1000</v>
      </c>
      <c r="K22" s="6">
        <v>0</v>
      </c>
      <c r="L22" s="7">
        <f t="shared" si="14"/>
        <v>-1</v>
      </c>
      <c r="M22" s="6">
        <f t="shared" si="15"/>
        <v>1000</v>
      </c>
      <c r="N22" s="6">
        <v>74.944374999999994</v>
      </c>
      <c r="O22" s="6">
        <v>0</v>
      </c>
      <c r="P22" s="7">
        <f t="shared" si="16"/>
        <v>-1</v>
      </c>
      <c r="Q22" s="6">
        <f t="shared" si="17"/>
        <v>74.944374999999994</v>
      </c>
      <c r="R22" s="6">
        <v>1000</v>
      </c>
      <c r="S22" s="6">
        <v>0</v>
      </c>
      <c r="T22" s="7">
        <f t="shared" si="18"/>
        <v>-1</v>
      </c>
      <c r="U22" s="6">
        <f t="shared" si="19"/>
        <v>1000</v>
      </c>
      <c r="V22" s="6">
        <v>1000</v>
      </c>
      <c r="W22" s="6">
        <v>0</v>
      </c>
      <c r="X22" s="7">
        <f t="shared" si="20"/>
        <v>-1</v>
      </c>
      <c r="Y22" s="6">
        <f t="shared" si="21"/>
        <v>1000</v>
      </c>
      <c r="Z22" s="6">
        <v>74.944374999999994</v>
      </c>
      <c r="AA22" s="6">
        <v>440.5</v>
      </c>
      <c r="AB22" s="7">
        <f t="shared" si="22"/>
        <v>4.8776926220280048</v>
      </c>
      <c r="AC22" s="6">
        <f t="shared" si="23"/>
        <v>-365.55562500000002</v>
      </c>
      <c r="AD22" s="6">
        <f t="shared" si="24"/>
        <v>3149.8887500000001</v>
      </c>
      <c r="AE22" s="6">
        <f t="shared" si="25"/>
        <v>440.5</v>
      </c>
      <c r="AF22" s="7">
        <f t="shared" si="26"/>
        <v>-0.86015379114579837</v>
      </c>
      <c r="AG22" s="6">
        <f t="shared" si="27"/>
        <v>2709.3887500000001</v>
      </c>
      <c r="AI22" s="5"/>
    </row>
    <row r="23" spans="1:35" ht="14" x14ac:dyDescent="0.2">
      <c r="A23" s="8"/>
      <c r="B23" s="1"/>
      <c r="C23" s="87">
        <v>1159</v>
      </c>
      <c r="D23" s="87" t="s">
        <v>14</v>
      </c>
      <c r="E23" s="87">
        <v>1150</v>
      </c>
      <c r="F23" s="87" t="s">
        <v>15</v>
      </c>
      <c r="G23" s="87" t="s">
        <v>1</v>
      </c>
      <c r="H23" s="87" t="s">
        <v>44</v>
      </c>
      <c r="I23" s="89" t="s">
        <v>47</v>
      </c>
      <c r="J23" s="6">
        <v>120</v>
      </c>
      <c r="K23" s="6">
        <v>0</v>
      </c>
      <c r="L23" s="7">
        <f t="shared" si="14"/>
        <v>-1</v>
      </c>
      <c r="M23" s="6">
        <f t="shared" si="15"/>
        <v>120</v>
      </c>
      <c r="N23" s="6">
        <v>120</v>
      </c>
      <c r="O23" s="6">
        <v>0</v>
      </c>
      <c r="P23" s="7">
        <f t="shared" si="16"/>
        <v>-1</v>
      </c>
      <c r="Q23" s="6">
        <f t="shared" si="17"/>
        <v>120</v>
      </c>
      <c r="R23" s="6">
        <v>120</v>
      </c>
      <c r="S23" s="6">
        <v>0</v>
      </c>
      <c r="T23" s="7">
        <f t="shared" si="18"/>
        <v>-1</v>
      </c>
      <c r="U23" s="6">
        <f t="shared" si="19"/>
        <v>120</v>
      </c>
      <c r="V23" s="6">
        <v>120</v>
      </c>
      <c r="W23" s="6">
        <v>0</v>
      </c>
      <c r="X23" s="7">
        <f t="shared" si="20"/>
        <v>-1</v>
      </c>
      <c r="Y23" s="6">
        <f t="shared" si="21"/>
        <v>120</v>
      </c>
      <c r="Z23" s="6">
        <v>120</v>
      </c>
      <c r="AA23" s="6">
        <v>0</v>
      </c>
      <c r="AB23" s="7">
        <f t="shared" si="22"/>
        <v>-1</v>
      </c>
      <c r="AC23" s="6">
        <f t="shared" si="23"/>
        <v>120</v>
      </c>
      <c r="AD23" s="6">
        <f t="shared" si="24"/>
        <v>600</v>
      </c>
      <c r="AE23" s="6">
        <f t="shared" si="25"/>
        <v>0</v>
      </c>
      <c r="AF23" s="7">
        <f t="shared" si="26"/>
        <v>-1</v>
      </c>
      <c r="AG23" s="6">
        <f t="shared" si="27"/>
        <v>600</v>
      </c>
      <c r="AI23" s="5"/>
    </row>
    <row r="24" spans="1:35" ht="14" x14ac:dyDescent="0.2">
      <c r="A24" s="8"/>
      <c r="B24" s="1"/>
      <c r="C24" s="87">
        <v>1159</v>
      </c>
      <c r="D24" s="87" t="s">
        <v>14</v>
      </c>
      <c r="E24" s="87">
        <v>1150</v>
      </c>
      <c r="F24" s="87" t="s">
        <v>15</v>
      </c>
      <c r="G24" s="87" t="s">
        <v>1</v>
      </c>
      <c r="H24" s="87" t="s">
        <v>46</v>
      </c>
      <c r="I24" s="89" t="s">
        <v>64</v>
      </c>
      <c r="J24" s="6">
        <v>0</v>
      </c>
      <c r="K24" s="6">
        <v>0</v>
      </c>
      <c r="L24" s="7">
        <f t="shared" si="14"/>
        <v>-1</v>
      </c>
      <c r="M24" s="6">
        <f t="shared" si="15"/>
        <v>0</v>
      </c>
      <c r="N24" s="6">
        <v>0</v>
      </c>
      <c r="O24" s="6">
        <v>0</v>
      </c>
      <c r="P24" s="7">
        <f t="shared" si="16"/>
        <v>-1</v>
      </c>
      <c r="Q24" s="6">
        <f t="shared" si="17"/>
        <v>0</v>
      </c>
      <c r="R24" s="6">
        <v>0</v>
      </c>
      <c r="S24" s="6">
        <v>0</v>
      </c>
      <c r="T24" s="7">
        <f t="shared" si="18"/>
        <v>-1</v>
      </c>
      <c r="U24" s="6">
        <f t="shared" si="19"/>
        <v>0</v>
      </c>
      <c r="V24" s="6">
        <v>0</v>
      </c>
      <c r="W24" s="6">
        <v>0</v>
      </c>
      <c r="X24" s="7">
        <f t="shared" si="20"/>
        <v>-1</v>
      </c>
      <c r="Y24" s="6">
        <f t="shared" si="21"/>
        <v>0</v>
      </c>
      <c r="Z24" s="6">
        <v>0</v>
      </c>
      <c r="AA24" s="6">
        <v>0</v>
      </c>
      <c r="AB24" s="7">
        <f t="shared" si="22"/>
        <v>-1</v>
      </c>
      <c r="AC24" s="6">
        <f t="shared" si="23"/>
        <v>0</v>
      </c>
      <c r="AD24" s="6">
        <f t="shared" si="24"/>
        <v>0</v>
      </c>
      <c r="AE24" s="6">
        <f t="shared" si="25"/>
        <v>0</v>
      </c>
      <c r="AF24" s="7">
        <f t="shared" si="26"/>
        <v>-1</v>
      </c>
      <c r="AG24" s="6">
        <f t="shared" si="27"/>
        <v>0</v>
      </c>
      <c r="AI24" s="5"/>
    </row>
    <row r="25" spans="1:35" ht="14" x14ac:dyDescent="0.2">
      <c r="A25" s="8"/>
      <c r="B25" s="1"/>
      <c r="C25" s="87">
        <v>1159</v>
      </c>
      <c r="D25" s="87" t="s">
        <v>14</v>
      </c>
      <c r="E25" s="87">
        <v>1150</v>
      </c>
      <c r="F25" s="87" t="s">
        <v>15</v>
      </c>
      <c r="G25" s="87" t="s">
        <v>1</v>
      </c>
      <c r="H25" s="87" t="s">
        <v>46</v>
      </c>
      <c r="I25" s="89" t="s">
        <v>63</v>
      </c>
      <c r="J25" s="6">
        <v>0</v>
      </c>
      <c r="K25" s="6">
        <v>0</v>
      </c>
      <c r="L25" s="7">
        <f t="shared" si="14"/>
        <v>-1</v>
      </c>
      <c r="M25" s="6">
        <f t="shared" si="15"/>
        <v>0</v>
      </c>
      <c r="N25" s="6">
        <v>0</v>
      </c>
      <c r="O25" s="6">
        <v>0</v>
      </c>
      <c r="P25" s="7">
        <f t="shared" si="16"/>
        <v>-1</v>
      </c>
      <c r="Q25" s="6">
        <f t="shared" si="17"/>
        <v>0</v>
      </c>
      <c r="R25" s="6">
        <v>0</v>
      </c>
      <c r="S25" s="6">
        <v>0</v>
      </c>
      <c r="T25" s="7">
        <f t="shared" si="18"/>
        <v>-1</v>
      </c>
      <c r="U25" s="6">
        <f t="shared" si="19"/>
        <v>0</v>
      </c>
      <c r="V25" s="6">
        <v>0</v>
      </c>
      <c r="W25" s="6">
        <v>0</v>
      </c>
      <c r="X25" s="7">
        <f t="shared" si="20"/>
        <v>-1</v>
      </c>
      <c r="Y25" s="6">
        <f t="shared" si="21"/>
        <v>0</v>
      </c>
      <c r="Z25" s="6">
        <v>0</v>
      </c>
      <c r="AA25" s="6">
        <v>0</v>
      </c>
      <c r="AB25" s="7">
        <f t="shared" si="22"/>
        <v>-1</v>
      </c>
      <c r="AC25" s="6">
        <f t="shared" si="23"/>
        <v>0</v>
      </c>
      <c r="AD25" s="6">
        <f t="shared" si="24"/>
        <v>0</v>
      </c>
      <c r="AE25" s="6">
        <f t="shared" si="25"/>
        <v>0</v>
      </c>
      <c r="AF25" s="7">
        <f t="shared" si="26"/>
        <v>-1</v>
      </c>
      <c r="AG25" s="6">
        <f t="shared" si="27"/>
        <v>0</v>
      </c>
      <c r="AI25" s="5"/>
    </row>
    <row r="26" spans="1:35" ht="14" x14ac:dyDescent="0.2">
      <c r="A26" s="8"/>
      <c r="B26" s="1"/>
      <c r="C26" s="87">
        <v>1159</v>
      </c>
      <c r="D26" s="87" t="s">
        <v>14</v>
      </c>
      <c r="E26" s="87">
        <v>1150</v>
      </c>
      <c r="F26" s="87" t="s">
        <v>15</v>
      </c>
      <c r="G26" s="87" t="s">
        <v>1</v>
      </c>
      <c r="H26" s="87" t="s">
        <v>46</v>
      </c>
      <c r="I26" s="89" t="s">
        <v>45</v>
      </c>
      <c r="J26" s="6">
        <v>0</v>
      </c>
      <c r="K26" s="6">
        <v>0</v>
      </c>
      <c r="L26" s="7">
        <f t="shared" si="14"/>
        <v>-1</v>
      </c>
      <c r="M26" s="6">
        <f t="shared" si="15"/>
        <v>0</v>
      </c>
      <c r="N26" s="6">
        <v>200</v>
      </c>
      <c r="O26" s="6">
        <v>0</v>
      </c>
      <c r="P26" s="7">
        <f t="shared" si="16"/>
        <v>-1</v>
      </c>
      <c r="Q26" s="6">
        <f t="shared" si="17"/>
        <v>200</v>
      </c>
      <c r="R26" s="6">
        <v>0</v>
      </c>
      <c r="S26" s="6">
        <v>0</v>
      </c>
      <c r="T26" s="7">
        <f t="shared" si="18"/>
        <v>-1</v>
      </c>
      <c r="U26" s="6">
        <f t="shared" si="19"/>
        <v>0</v>
      </c>
      <c r="V26" s="6">
        <v>0</v>
      </c>
      <c r="W26" s="6">
        <v>0</v>
      </c>
      <c r="X26" s="7">
        <f t="shared" si="20"/>
        <v>-1</v>
      </c>
      <c r="Y26" s="6">
        <f t="shared" si="21"/>
        <v>0</v>
      </c>
      <c r="Z26" s="6">
        <v>200</v>
      </c>
      <c r="AA26" s="6">
        <v>0</v>
      </c>
      <c r="AB26" s="7">
        <f t="shared" si="22"/>
        <v>-1</v>
      </c>
      <c r="AC26" s="6">
        <f t="shared" si="23"/>
        <v>200</v>
      </c>
      <c r="AD26" s="6">
        <f t="shared" si="24"/>
        <v>400</v>
      </c>
      <c r="AE26" s="6">
        <f t="shared" si="25"/>
        <v>0</v>
      </c>
      <c r="AF26" s="7">
        <f t="shared" si="26"/>
        <v>-1</v>
      </c>
      <c r="AG26" s="6">
        <f t="shared" si="27"/>
        <v>400</v>
      </c>
      <c r="AI26" s="5"/>
    </row>
    <row r="27" spans="1:35" ht="14" x14ac:dyDescent="0.2">
      <c r="A27" s="8"/>
      <c r="B27" s="1"/>
      <c r="C27" s="87">
        <v>1159</v>
      </c>
      <c r="D27" s="87" t="s">
        <v>14</v>
      </c>
      <c r="E27" s="87">
        <v>1159</v>
      </c>
      <c r="F27" s="87" t="s">
        <v>14</v>
      </c>
      <c r="G27" s="87" t="s">
        <v>1</v>
      </c>
      <c r="H27" s="87" t="s">
        <v>44</v>
      </c>
      <c r="I27" s="89" t="s">
        <v>43</v>
      </c>
      <c r="J27" s="6">
        <v>37.5</v>
      </c>
      <c r="K27" s="6">
        <v>0</v>
      </c>
      <c r="L27" s="7">
        <f t="shared" si="14"/>
        <v>-1</v>
      </c>
      <c r="M27" s="6">
        <f t="shared" si="15"/>
        <v>37.5</v>
      </c>
      <c r="N27" s="6">
        <v>37.5</v>
      </c>
      <c r="O27" s="6">
        <v>0</v>
      </c>
      <c r="P27" s="7">
        <f t="shared" si="16"/>
        <v>-1</v>
      </c>
      <c r="Q27" s="6">
        <f t="shared" si="17"/>
        <v>37.5</v>
      </c>
      <c r="R27" s="6">
        <v>37.5</v>
      </c>
      <c r="S27" s="6">
        <v>0</v>
      </c>
      <c r="T27" s="7">
        <f t="shared" si="18"/>
        <v>-1</v>
      </c>
      <c r="U27" s="6">
        <f t="shared" si="19"/>
        <v>37.5</v>
      </c>
      <c r="V27" s="6">
        <v>37.5</v>
      </c>
      <c r="W27" s="6">
        <v>0</v>
      </c>
      <c r="X27" s="7">
        <f t="shared" si="20"/>
        <v>-1</v>
      </c>
      <c r="Y27" s="6">
        <f t="shared" si="21"/>
        <v>37.5</v>
      </c>
      <c r="Z27" s="6">
        <v>37.5</v>
      </c>
      <c r="AA27" s="6">
        <v>0</v>
      </c>
      <c r="AB27" s="7">
        <f t="shared" si="22"/>
        <v>-1</v>
      </c>
      <c r="AC27" s="6">
        <f t="shared" si="23"/>
        <v>37.5</v>
      </c>
      <c r="AD27" s="6">
        <f t="shared" si="24"/>
        <v>187.5</v>
      </c>
      <c r="AE27" s="6">
        <f t="shared" si="25"/>
        <v>0</v>
      </c>
      <c r="AF27" s="7">
        <f t="shared" si="26"/>
        <v>-1</v>
      </c>
      <c r="AG27" s="6">
        <f t="shared" si="27"/>
        <v>187.5</v>
      </c>
      <c r="AI27" s="5"/>
    </row>
    <row r="28" spans="1:35" ht="14" x14ac:dyDescent="0.2">
      <c r="A28" s="8"/>
      <c r="B28" s="1"/>
      <c r="C28" s="87">
        <v>1159</v>
      </c>
      <c r="D28" s="87" t="s">
        <v>14</v>
      </c>
      <c r="E28" s="87">
        <v>1159</v>
      </c>
      <c r="F28" s="87" t="s">
        <v>14</v>
      </c>
      <c r="G28" s="87" t="s">
        <v>1</v>
      </c>
      <c r="H28" s="87" t="s">
        <v>50</v>
      </c>
      <c r="I28" s="89" t="s">
        <v>49</v>
      </c>
      <c r="J28" s="6">
        <v>550</v>
      </c>
      <c r="K28" s="6">
        <v>3334</v>
      </c>
      <c r="L28" s="7">
        <f t="shared" si="14"/>
        <v>5.0618181818181816</v>
      </c>
      <c r="M28" s="6">
        <f t="shared" si="15"/>
        <v>-2784</v>
      </c>
      <c r="N28" s="6">
        <v>524.68212500000004</v>
      </c>
      <c r="O28" s="6">
        <v>2100</v>
      </c>
      <c r="P28" s="7">
        <f t="shared" si="16"/>
        <v>3.0024233720559854</v>
      </c>
      <c r="Q28" s="6">
        <f t="shared" si="17"/>
        <v>-1575.317875</v>
      </c>
      <c r="R28" s="6">
        <v>1000</v>
      </c>
      <c r="S28" s="6">
        <v>128.38999999999999</v>
      </c>
      <c r="T28" s="7">
        <f t="shared" si="18"/>
        <v>-0.87161</v>
      </c>
      <c r="U28" s="6">
        <f t="shared" si="19"/>
        <v>871.61</v>
      </c>
      <c r="V28" s="6">
        <v>524.68212500000004</v>
      </c>
      <c r="W28" s="6">
        <v>4033.5</v>
      </c>
      <c r="X28" s="7">
        <f t="shared" si="20"/>
        <v>6.687511748184674</v>
      </c>
      <c r="Y28" s="6">
        <f t="shared" si="21"/>
        <v>-3508.8178749999997</v>
      </c>
      <c r="Z28" s="6">
        <v>524.68212500000004</v>
      </c>
      <c r="AA28" s="6">
        <v>8030.09</v>
      </c>
      <c r="AB28" s="7">
        <f t="shared" si="22"/>
        <v>14.304676140815737</v>
      </c>
      <c r="AC28" s="6">
        <f t="shared" si="23"/>
        <v>-7505.4078749999999</v>
      </c>
      <c r="AD28" s="6">
        <f t="shared" si="24"/>
        <v>3124.0463750000008</v>
      </c>
      <c r="AE28" s="6">
        <f t="shared" si="25"/>
        <v>17625.98</v>
      </c>
      <c r="AF28" s="7">
        <f t="shared" si="26"/>
        <v>4.642035323499317</v>
      </c>
      <c r="AG28" s="6">
        <f t="shared" si="27"/>
        <v>-14501.933624999998</v>
      </c>
      <c r="AI28" s="5"/>
    </row>
    <row r="29" spans="1:35" ht="14" x14ac:dyDescent="0.2">
      <c r="A29" s="8"/>
      <c r="B29" s="1"/>
      <c r="C29" s="87">
        <v>1159</v>
      </c>
      <c r="D29" s="87" t="s">
        <v>14</v>
      </c>
      <c r="E29" s="87">
        <v>1159</v>
      </c>
      <c r="F29" s="87" t="s">
        <v>14</v>
      </c>
      <c r="G29" s="87" t="s">
        <v>1</v>
      </c>
      <c r="H29" s="87" t="s">
        <v>66</v>
      </c>
      <c r="I29" s="89" t="s">
        <v>65</v>
      </c>
      <c r="J29" s="6">
        <v>2000</v>
      </c>
      <c r="K29" s="6">
        <v>165.39</v>
      </c>
      <c r="L29" s="7">
        <f t="shared" si="14"/>
        <v>-0.91730500000000004</v>
      </c>
      <c r="M29" s="6">
        <f t="shared" si="15"/>
        <v>1834.6100000000001</v>
      </c>
      <c r="N29" s="6">
        <v>182.87500000000003</v>
      </c>
      <c r="O29" s="6">
        <v>0</v>
      </c>
      <c r="P29" s="7">
        <f t="shared" si="16"/>
        <v>-1</v>
      </c>
      <c r="Q29" s="6">
        <f t="shared" si="17"/>
        <v>182.87500000000003</v>
      </c>
      <c r="R29" s="6">
        <v>1000</v>
      </c>
      <c r="S29" s="6">
        <v>0</v>
      </c>
      <c r="T29" s="7">
        <f t="shared" si="18"/>
        <v>-1</v>
      </c>
      <c r="U29" s="6">
        <f t="shared" si="19"/>
        <v>1000</v>
      </c>
      <c r="V29" s="6">
        <v>2000</v>
      </c>
      <c r="W29" s="6">
        <v>186.9</v>
      </c>
      <c r="X29" s="7">
        <f t="shared" si="20"/>
        <v>-0.90654999999999997</v>
      </c>
      <c r="Y29" s="6">
        <f t="shared" si="21"/>
        <v>1813.1</v>
      </c>
      <c r="Z29" s="6">
        <v>182.87500000000003</v>
      </c>
      <c r="AA29" s="6">
        <v>2532.84</v>
      </c>
      <c r="AB29" s="7">
        <f t="shared" si="22"/>
        <v>12.850116199589882</v>
      </c>
      <c r="AC29" s="6">
        <f t="shared" si="23"/>
        <v>-2349.9650000000001</v>
      </c>
      <c r="AD29" s="6">
        <f t="shared" si="24"/>
        <v>5365.75</v>
      </c>
      <c r="AE29" s="6">
        <f t="shared" si="25"/>
        <v>2885.13</v>
      </c>
      <c r="AF29" s="7">
        <f t="shared" si="26"/>
        <v>-0.46230629455341754</v>
      </c>
      <c r="AG29" s="6">
        <f t="shared" si="27"/>
        <v>2480.62</v>
      </c>
      <c r="AI29" s="5"/>
    </row>
    <row r="30" spans="1:35" ht="14" x14ac:dyDescent="0.2">
      <c r="A30" s="8"/>
      <c r="B30" s="1"/>
      <c r="C30" s="87">
        <v>1159</v>
      </c>
      <c r="D30" s="87" t="s">
        <v>14</v>
      </c>
      <c r="E30" s="87">
        <v>1159</v>
      </c>
      <c r="F30" s="87" t="s">
        <v>14</v>
      </c>
      <c r="G30" s="87" t="s">
        <v>1</v>
      </c>
      <c r="H30" s="87" t="s">
        <v>57</v>
      </c>
      <c r="I30" s="89" t="s">
        <v>60</v>
      </c>
      <c r="J30" s="6">
        <v>2402.321625</v>
      </c>
      <c r="K30" s="6">
        <v>2178.56</v>
      </c>
      <c r="L30" s="7">
        <f t="shared" si="14"/>
        <v>-9.314390823918095E-2</v>
      </c>
      <c r="M30" s="6">
        <f t="shared" si="15"/>
        <v>223.76162500000009</v>
      </c>
      <c r="N30" s="6">
        <v>2402.321625</v>
      </c>
      <c r="O30" s="6">
        <v>2270.39</v>
      </c>
      <c r="P30" s="7">
        <f t="shared" si="16"/>
        <v>-5.4918385459732155E-2</v>
      </c>
      <c r="Q30" s="6">
        <f t="shared" si="17"/>
        <v>131.93162500000017</v>
      </c>
      <c r="R30" s="6">
        <v>2402.321625</v>
      </c>
      <c r="S30" s="6">
        <v>2314.4299999999998</v>
      </c>
      <c r="T30" s="7">
        <f t="shared" si="18"/>
        <v>-3.6586119063054312E-2</v>
      </c>
      <c r="U30" s="6">
        <f t="shared" si="19"/>
        <v>87.891625000000204</v>
      </c>
      <c r="V30" s="6">
        <v>2402.321625</v>
      </c>
      <c r="W30" s="6">
        <v>3103.76</v>
      </c>
      <c r="X30" s="7">
        <f t="shared" si="20"/>
        <v>0.29198354112971869</v>
      </c>
      <c r="Y30" s="6">
        <f t="shared" si="21"/>
        <v>-701.43837500000018</v>
      </c>
      <c r="Z30" s="6">
        <v>2402.321625</v>
      </c>
      <c r="AA30" s="6">
        <v>2429.8200000000002</v>
      </c>
      <c r="AB30" s="7">
        <f t="shared" si="22"/>
        <v>1.1446583469022498E-2</v>
      </c>
      <c r="AC30" s="6">
        <f t="shared" si="23"/>
        <v>-27.498375000000124</v>
      </c>
      <c r="AD30" s="6">
        <f t="shared" si="24"/>
        <v>12011.608125000001</v>
      </c>
      <c r="AE30" s="6">
        <f t="shared" si="25"/>
        <v>12296.96</v>
      </c>
      <c r="AF30" s="7">
        <f t="shared" si="26"/>
        <v>2.3756342367354577E-2</v>
      </c>
      <c r="AG30" s="6">
        <f t="shared" si="27"/>
        <v>-285.35187499999847</v>
      </c>
      <c r="AI30" s="5"/>
    </row>
    <row r="31" spans="1:35" ht="14" x14ac:dyDescent="0.2">
      <c r="A31" s="8"/>
      <c r="B31" s="1"/>
      <c r="C31" s="87">
        <v>1159</v>
      </c>
      <c r="D31" s="87" t="s">
        <v>14</v>
      </c>
      <c r="E31" s="87">
        <v>1159</v>
      </c>
      <c r="F31" s="87" t="s">
        <v>14</v>
      </c>
      <c r="G31" s="87" t="s">
        <v>1</v>
      </c>
      <c r="H31" s="87" t="s">
        <v>57</v>
      </c>
      <c r="I31" s="89" t="s">
        <v>59</v>
      </c>
      <c r="J31" s="6">
        <v>6544.64</v>
      </c>
      <c r="K31" s="6">
        <v>5836.8</v>
      </c>
      <c r="L31" s="7">
        <f t="shared" si="14"/>
        <v>-0.10815568159593192</v>
      </c>
      <c r="M31" s="6">
        <f t="shared" si="15"/>
        <v>707.84000000000015</v>
      </c>
      <c r="N31" s="6">
        <v>6544.64</v>
      </c>
      <c r="O31" s="6">
        <v>5638.75</v>
      </c>
      <c r="P31" s="7">
        <f t="shared" si="16"/>
        <v>-0.13841708634852345</v>
      </c>
      <c r="Q31" s="6">
        <f t="shared" si="17"/>
        <v>905.89000000000033</v>
      </c>
      <c r="R31" s="6">
        <v>6544.64</v>
      </c>
      <c r="S31" s="6">
        <v>5698.23</v>
      </c>
      <c r="T31" s="7">
        <f t="shared" si="18"/>
        <v>-0.12932873313123427</v>
      </c>
      <c r="U31" s="6">
        <f t="shared" si="19"/>
        <v>846.41000000000076</v>
      </c>
      <c r="V31" s="6">
        <v>6544.64</v>
      </c>
      <c r="W31" s="6">
        <v>6698.49</v>
      </c>
      <c r="X31" s="7">
        <f t="shared" si="20"/>
        <v>2.3507786524545216E-2</v>
      </c>
      <c r="Y31" s="6">
        <f t="shared" si="21"/>
        <v>-153.84999999999945</v>
      </c>
      <c r="Z31" s="6">
        <v>6544.64</v>
      </c>
      <c r="AA31" s="6">
        <v>3297.32</v>
      </c>
      <c r="AB31" s="7">
        <f t="shared" si="22"/>
        <v>-0.49618008018775672</v>
      </c>
      <c r="AC31" s="6">
        <f t="shared" si="23"/>
        <v>3247.32</v>
      </c>
      <c r="AD31" s="6">
        <f t="shared" si="24"/>
        <v>32723.200000000001</v>
      </c>
      <c r="AE31" s="6">
        <f t="shared" si="25"/>
        <v>27169.589999999997</v>
      </c>
      <c r="AF31" s="7">
        <f t="shared" si="26"/>
        <v>-0.16971475894778032</v>
      </c>
      <c r="AG31" s="6">
        <f t="shared" si="27"/>
        <v>5553.6100000000042</v>
      </c>
      <c r="AI31" s="5"/>
    </row>
    <row r="32" spans="1:35" ht="14" x14ac:dyDescent="0.2">
      <c r="A32" s="8"/>
      <c r="B32" s="1"/>
      <c r="C32" s="87">
        <v>1159</v>
      </c>
      <c r="D32" s="87" t="s">
        <v>14</v>
      </c>
      <c r="E32" s="87">
        <v>1159</v>
      </c>
      <c r="F32" s="87" t="s">
        <v>14</v>
      </c>
      <c r="G32" s="87" t="s">
        <v>1</v>
      </c>
      <c r="H32" s="87" t="s">
        <v>57</v>
      </c>
      <c r="I32" s="89" t="s">
        <v>61</v>
      </c>
      <c r="J32" s="6">
        <v>0</v>
      </c>
      <c r="K32" s="6">
        <v>224</v>
      </c>
      <c r="L32" s="7">
        <f t="shared" si="14"/>
        <v>-1</v>
      </c>
      <c r="M32" s="6">
        <f t="shared" si="15"/>
        <v>-224</v>
      </c>
      <c r="N32" s="6">
        <v>0</v>
      </c>
      <c r="O32" s="6">
        <v>0</v>
      </c>
      <c r="P32" s="7">
        <f t="shared" si="16"/>
        <v>-1</v>
      </c>
      <c r="Q32" s="6">
        <f t="shared" si="17"/>
        <v>0</v>
      </c>
      <c r="R32" s="6">
        <v>0</v>
      </c>
      <c r="S32" s="6">
        <v>0</v>
      </c>
      <c r="T32" s="7">
        <f t="shared" si="18"/>
        <v>-1</v>
      </c>
      <c r="U32" s="6">
        <f t="shared" si="19"/>
        <v>0</v>
      </c>
      <c r="V32" s="6">
        <v>0</v>
      </c>
      <c r="W32" s="6">
        <v>0</v>
      </c>
      <c r="X32" s="7">
        <f t="shared" si="20"/>
        <v>-1</v>
      </c>
      <c r="Y32" s="6">
        <f t="shared" si="21"/>
        <v>0</v>
      </c>
      <c r="Z32" s="6">
        <v>0</v>
      </c>
      <c r="AA32" s="6">
        <v>0</v>
      </c>
      <c r="AB32" s="7">
        <f t="shared" si="22"/>
        <v>-1</v>
      </c>
      <c r="AC32" s="6">
        <f t="shared" si="23"/>
        <v>0</v>
      </c>
      <c r="AD32" s="6">
        <f t="shared" si="24"/>
        <v>0</v>
      </c>
      <c r="AE32" s="6">
        <f t="shared" si="25"/>
        <v>224</v>
      </c>
      <c r="AF32" s="7">
        <f t="shared" si="26"/>
        <v>-1</v>
      </c>
      <c r="AG32" s="6">
        <f t="shared" si="27"/>
        <v>-224</v>
      </c>
      <c r="AI32" s="5"/>
    </row>
    <row r="33" spans="1:35" ht="14" x14ac:dyDescent="0.2">
      <c r="A33" s="8"/>
      <c r="B33" s="1"/>
      <c r="C33" s="87">
        <v>1159</v>
      </c>
      <c r="D33" s="87" t="s">
        <v>14</v>
      </c>
      <c r="E33" s="87">
        <v>1159</v>
      </c>
      <c r="F33" s="87" t="s">
        <v>14</v>
      </c>
      <c r="G33" s="87" t="s">
        <v>1</v>
      </c>
      <c r="H33" s="87" t="s">
        <v>57</v>
      </c>
      <c r="I33" s="89" t="s">
        <v>58</v>
      </c>
      <c r="J33" s="6">
        <v>0</v>
      </c>
      <c r="K33" s="6">
        <v>1659.16</v>
      </c>
      <c r="L33" s="7">
        <f t="shared" si="14"/>
        <v>-1</v>
      </c>
      <c r="M33" s="6">
        <f t="shared" si="15"/>
        <v>-1659.16</v>
      </c>
      <c r="N33" s="6">
        <v>0</v>
      </c>
      <c r="O33" s="6">
        <v>0</v>
      </c>
      <c r="P33" s="7">
        <f t="shared" si="16"/>
        <v>-1</v>
      </c>
      <c r="Q33" s="6">
        <f t="shared" si="17"/>
        <v>0</v>
      </c>
      <c r="R33" s="6">
        <v>0</v>
      </c>
      <c r="S33" s="6">
        <v>0</v>
      </c>
      <c r="T33" s="7">
        <f t="shared" si="18"/>
        <v>-1</v>
      </c>
      <c r="U33" s="6">
        <f t="shared" si="19"/>
        <v>0</v>
      </c>
      <c r="V33" s="6">
        <v>0</v>
      </c>
      <c r="W33" s="6">
        <v>0</v>
      </c>
      <c r="X33" s="7">
        <f t="shared" si="20"/>
        <v>-1</v>
      </c>
      <c r="Y33" s="6">
        <f t="shared" si="21"/>
        <v>0</v>
      </c>
      <c r="Z33" s="6">
        <v>0</v>
      </c>
      <c r="AA33" s="6">
        <v>0</v>
      </c>
      <c r="AB33" s="7">
        <f t="shared" si="22"/>
        <v>-1</v>
      </c>
      <c r="AC33" s="6">
        <f t="shared" si="23"/>
        <v>0</v>
      </c>
      <c r="AD33" s="6">
        <f t="shared" si="24"/>
        <v>0</v>
      </c>
      <c r="AE33" s="6">
        <f t="shared" si="25"/>
        <v>1659.16</v>
      </c>
      <c r="AF33" s="7">
        <f t="shared" si="26"/>
        <v>-1</v>
      </c>
      <c r="AG33" s="6">
        <f t="shared" si="27"/>
        <v>-1659.16</v>
      </c>
      <c r="AI33" s="5"/>
    </row>
    <row r="34" spans="1:35" ht="14" x14ac:dyDescent="0.2">
      <c r="A34" s="8"/>
      <c r="B34" s="1"/>
      <c r="C34" s="87">
        <v>1159</v>
      </c>
      <c r="D34" s="87" t="s">
        <v>14</v>
      </c>
      <c r="E34" s="87">
        <v>1159</v>
      </c>
      <c r="F34" s="87" t="s">
        <v>14</v>
      </c>
      <c r="G34" s="87" t="s">
        <v>1</v>
      </c>
      <c r="H34" s="87" t="s">
        <v>41</v>
      </c>
      <c r="I34" s="89" t="s">
        <v>55</v>
      </c>
      <c r="J34" s="6">
        <v>4940.6046249999999</v>
      </c>
      <c r="K34" s="6">
        <v>2413.4299999999998</v>
      </c>
      <c r="L34" s="7">
        <f t="shared" si="14"/>
        <v>-0.51151120496714508</v>
      </c>
      <c r="M34" s="6">
        <f t="shared" si="15"/>
        <v>2527.1746250000001</v>
      </c>
      <c r="N34" s="6">
        <v>6000</v>
      </c>
      <c r="O34" s="6">
        <v>332.47</v>
      </c>
      <c r="P34" s="7">
        <f t="shared" si="16"/>
        <v>-0.94458833333333336</v>
      </c>
      <c r="Q34" s="6">
        <f t="shared" si="17"/>
        <v>5667.53</v>
      </c>
      <c r="R34" s="6">
        <v>6000</v>
      </c>
      <c r="S34" s="6">
        <v>0</v>
      </c>
      <c r="T34" s="7">
        <f t="shared" si="18"/>
        <v>-1</v>
      </c>
      <c r="U34" s="6">
        <f t="shared" si="19"/>
        <v>6000</v>
      </c>
      <c r="V34" s="6">
        <v>4940.6046249999999</v>
      </c>
      <c r="W34" s="6">
        <v>4401.4399999999996</v>
      </c>
      <c r="X34" s="7">
        <f t="shared" si="20"/>
        <v>-0.1091292799006357</v>
      </c>
      <c r="Y34" s="6">
        <f t="shared" si="21"/>
        <v>539.16462500000034</v>
      </c>
      <c r="Z34" s="6">
        <v>4940.6046249999999</v>
      </c>
      <c r="AA34" s="6">
        <v>2.4700000000000002</v>
      </c>
      <c r="AB34" s="7">
        <f t="shared" si="22"/>
        <v>-0.99950006118937318</v>
      </c>
      <c r="AC34" s="6">
        <f t="shared" si="23"/>
        <v>4938.1346249999997</v>
      </c>
      <c r="AD34" s="6">
        <f t="shared" si="24"/>
        <v>26821.813875</v>
      </c>
      <c r="AE34" s="6">
        <f t="shared" si="25"/>
        <v>7149.8099999999995</v>
      </c>
      <c r="AF34" s="7">
        <f t="shared" si="26"/>
        <v>-0.73343301712103171</v>
      </c>
      <c r="AG34" s="6">
        <f t="shared" si="27"/>
        <v>19672.003875000002</v>
      </c>
      <c r="AI34" s="5"/>
    </row>
    <row r="35" spans="1:35" ht="14" x14ac:dyDescent="0.2">
      <c r="A35" s="8"/>
      <c r="B35" s="1"/>
      <c r="C35" s="87">
        <v>1159</v>
      </c>
      <c r="D35" s="87" t="s">
        <v>14</v>
      </c>
      <c r="E35" s="87">
        <v>1159</v>
      </c>
      <c r="F35" s="87" t="s">
        <v>14</v>
      </c>
      <c r="G35" s="87" t="s">
        <v>1</v>
      </c>
      <c r="H35" s="87" t="s">
        <v>41</v>
      </c>
      <c r="I35" s="89" t="s">
        <v>54</v>
      </c>
      <c r="J35" s="6">
        <v>6000</v>
      </c>
      <c r="K35" s="6">
        <v>13282.22</v>
      </c>
      <c r="L35" s="7">
        <f t="shared" si="14"/>
        <v>1.2137033333333331</v>
      </c>
      <c r="M35" s="6">
        <f t="shared" si="15"/>
        <v>-7282.2199999999993</v>
      </c>
      <c r="N35" s="6">
        <v>6000</v>
      </c>
      <c r="O35" s="6">
        <v>5578.31</v>
      </c>
      <c r="P35" s="7">
        <f t="shared" si="16"/>
        <v>-7.0281666666666576E-2</v>
      </c>
      <c r="Q35" s="6">
        <f t="shared" si="17"/>
        <v>421.6899999999996</v>
      </c>
      <c r="R35" s="6">
        <v>5500</v>
      </c>
      <c r="S35" s="6">
        <v>6594.25</v>
      </c>
      <c r="T35" s="7">
        <f t="shared" si="18"/>
        <v>0.19895454545454538</v>
      </c>
      <c r="U35" s="6">
        <f t="shared" si="19"/>
        <v>-1094.25</v>
      </c>
      <c r="V35" s="6">
        <v>6000</v>
      </c>
      <c r="W35" s="6">
        <v>12687.98</v>
      </c>
      <c r="X35" s="7">
        <f t="shared" si="20"/>
        <v>1.1146633333333331</v>
      </c>
      <c r="Y35" s="6">
        <f t="shared" si="21"/>
        <v>-6687.98</v>
      </c>
      <c r="Z35" s="6">
        <v>4381.7345000000005</v>
      </c>
      <c r="AA35" s="6">
        <v>23009.82</v>
      </c>
      <c r="AB35" s="7">
        <f t="shared" si="22"/>
        <v>4.2513040212728539</v>
      </c>
      <c r="AC35" s="6">
        <f t="shared" si="23"/>
        <v>-18628.085500000001</v>
      </c>
      <c r="AD35" s="6">
        <f t="shared" si="24"/>
        <v>27881.734499999999</v>
      </c>
      <c r="AE35" s="6">
        <f t="shared" si="25"/>
        <v>61152.579999999994</v>
      </c>
      <c r="AF35" s="7">
        <f t="shared" si="26"/>
        <v>1.1932846394473771</v>
      </c>
      <c r="AG35" s="6">
        <f t="shared" si="27"/>
        <v>-33270.845499999996</v>
      </c>
      <c r="AI35" s="5"/>
    </row>
    <row r="36" spans="1:35" ht="14" x14ac:dyDescent="0.2">
      <c r="A36" s="8"/>
      <c r="B36" s="1"/>
      <c r="C36" s="87">
        <v>1159</v>
      </c>
      <c r="D36" s="87" t="s">
        <v>14</v>
      </c>
      <c r="E36" s="87">
        <v>1159</v>
      </c>
      <c r="F36" s="87" t="s">
        <v>14</v>
      </c>
      <c r="G36" s="87" t="s">
        <v>1</v>
      </c>
      <c r="H36" s="87" t="s">
        <v>41</v>
      </c>
      <c r="I36" s="89" t="s">
        <v>53</v>
      </c>
      <c r="J36" s="6">
        <v>0</v>
      </c>
      <c r="K36" s="6">
        <v>408.39</v>
      </c>
      <c r="L36" s="7">
        <f t="shared" si="14"/>
        <v>-1</v>
      </c>
      <c r="M36" s="6">
        <f t="shared" si="15"/>
        <v>-408.39</v>
      </c>
      <c r="N36" s="6">
        <v>0</v>
      </c>
      <c r="O36" s="6">
        <v>0</v>
      </c>
      <c r="P36" s="7">
        <f t="shared" si="16"/>
        <v>-1</v>
      </c>
      <c r="Q36" s="6">
        <f t="shared" si="17"/>
        <v>0</v>
      </c>
      <c r="R36" s="6">
        <v>0</v>
      </c>
      <c r="S36" s="6">
        <v>0</v>
      </c>
      <c r="T36" s="7">
        <f t="shared" si="18"/>
        <v>-1</v>
      </c>
      <c r="U36" s="6">
        <f t="shared" si="19"/>
        <v>0</v>
      </c>
      <c r="V36" s="6">
        <v>0</v>
      </c>
      <c r="W36" s="6">
        <v>0</v>
      </c>
      <c r="X36" s="7">
        <f t="shared" si="20"/>
        <v>-1</v>
      </c>
      <c r="Y36" s="6">
        <f t="shared" si="21"/>
        <v>0</v>
      </c>
      <c r="Z36" s="6">
        <v>0</v>
      </c>
      <c r="AA36" s="6">
        <v>0</v>
      </c>
      <c r="AB36" s="7">
        <f t="shared" si="22"/>
        <v>-1</v>
      </c>
      <c r="AC36" s="6">
        <f t="shared" si="23"/>
        <v>0</v>
      </c>
      <c r="AD36" s="6">
        <f t="shared" si="24"/>
        <v>0</v>
      </c>
      <c r="AE36" s="6">
        <f t="shared" si="25"/>
        <v>408.39</v>
      </c>
      <c r="AF36" s="7">
        <f t="shared" si="26"/>
        <v>-1</v>
      </c>
      <c r="AG36" s="6">
        <f t="shared" si="27"/>
        <v>-408.39</v>
      </c>
      <c r="AI36" s="5"/>
    </row>
    <row r="37" spans="1:35" ht="14" x14ac:dyDescent="0.2">
      <c r="A37" s="8"/>
      <c r="B37" s="1"/>
      <c r="C37" s="87">
        <v>1159</v>
      </c>
      <c r="D37" s="87" t="s">
        <v>14</v>
      </c>
      <c r="E37" s="87">
        <v>1159</v>
      </c>
      <c r="F37" s="87" t="s">
        <v>14</v>
      </c>
      <c r="G37" s="87" t="s">
        <v>1</v>
      </c>
      <c r="H37" s="87" t="s">
        <v>57</v>
      </c>
      <c r="I37" s="89" t="s">
        <v>56</v>
      </c>
      <c r="J37" s="6">
        <v>891.80850000000021</v>
      </c>
      <c r="K37" s="6">
        <v>666.8</v>
      </c>
      <c r="L37" s="7">
        <f t="shared" si="14"/>
        <v>-0.25230584817256196</v>
      </c>
      <c r="M37" s="6">
        <f t="shared" si="15"/>
        <v>225.00850000000025</v>
      </c>
      <c r="N37" s="6">
        <v>891.80850000000021</v>
      </c>
      <c r="O37" s="6">
        <v>892.9</v>
      </c>
      <c r="P37" s="7">
        <f t="shared" si="16"/>
        <v>1.2239174665857888E-3</v>
      </c>
      <c r="Q37" s="6">
        <f t="shared" si="17"/>
        <v>-1.091499999999769</v>
      </c>
      <c r="R37" s="6">
        <v>891.80850000000021</v>
      </c>
      <c r="S37" s="6">
        <v>577.5</v>
      </c>
      <c r="T37" s="7">
        <f t="shared" si="18"/>
        <v>-0.35243945308886393</v>
      </c>
      <c r="U37" s="6">
        <f t="shared" si="19"/>
        <v>314.30850000000021</v>
      </c>
      <c r="V37" s="6">
        <v>1000</v>
      </c>
      <c r="W37" s="6">
        <v>981.12</v>
      </c>
      <c r="X37" s="7">
        <f t="shared" si="20"/>
        <v>-1.8880000000000008E-2</v>
      </c>
      <c r="Y37" s="6">
        <f t="shared" si="21"/>
        <v>18.879999999999995</v>
      </c>
      <c r="Z37" s="6">
        <v>891.80850000000021</v>
      </c>
      <c r="AA37" s="6">
        <v>846.7</v>
      </c>
      <c r="AB37" s="7">
        <f t="shared" si="22"/>
        <v>-5.058092628630495E-2</v>
      </c>
      <c r="AC37" s="6">
        <f t="shared" si="23"/>
        <v>45.108500000000163</v>
      </c>
      <c r="AD37" s="6">
        <f t="shared" si="24"/>
        <v>4567.2340000000013</v>
      </c>
      <c r="AE37" s="6">
        <f t="shared" si="25"/>
        <v>3965.0199999999995</v>
      </c>
      <c r="AF37" s="7">
        <f t="shared" si="26"/>
        <v>-0.13185529797685025</v>
      </c>
      <c r="AG37" s="6">
        <f t="shared" si="27"/>
        <v>602.21400000000176</v>
      </c>
      <c r="AI37" s="5"/>
    </row>
    <row r="38" spans="1:35" ht="14" x14ac:dyDescent="0.2">
      <c r="A38" s="8"/>
      <c r="B38" s="1"/>
      <c r="C38" s="87">
        <v>1159</v>
      </c>
      <c r="D38" s="87" t="s">
        <v>14</v>
      </c>
      <c r="E38" s="87">
        <v>1159</v>
      </c>
      <c r="F38" s="87" t="s">
        <v>14</v>
      </c>
      <c r="G38" s="87" t="s">
        <v>1</v>
      </c>
      <c r="H38" s="87" t="s">
        <v>41</v>
      </c>
      <c r="I38" s="89" t="s">
        <v>52</v>
      </c>
      <c r="J38" s="6">
        <v>725.81024999999988</v>
      </c>
      <c r="K38" s="6">
        <v>1064.31</v>
      </c>
      <c r="L38" s="7">
        <f t="shared" si="14"/>
        <v>0.46637499263753868</v>
      </c>
      <c r="M38" s="6">
        <f t="shared" si="15"/>
        <v>-338.49975000000006</v>
      </c>
      <c r="N38" s="6">
        <v>1000</v>
      </c>
      <c r="O38" s="6">
        <v>338.55</v>
      </c>
      <c r="P38" s="7">
        <f t="shared" si="16"/>
        <v>-0.66144999999999998</v>
      </c>
      <c r="Q38" s="6">
        <f t="shared" si="17"/>
        <v>661.45</v>
      </c>
      <c r="R38" s="6">
        <v>1000</v>
      </c>
      <c r="S38" s="6">
        <v>639.29999999999995</v>
      </c>
      <c r="T38" s="7">
        <f t="shared" si="18"/>
        <v>-0.36070000000000002</v>
      </c>
      <c r="U38" s="6">
        <f t="shared" si="19"/>
        <v>360.70000000000005</v>
      </c>
      <c r="V38" s="6">
        <v>725.81024999999988</v>
      </c>
      <c r="W38" s="6">
        <v>1734.32</v>
      </c>
      <c r="X38" s="7">
        <f t="shared" si="20"/>
        <v>1.3894950505314583</v>
      </c>
      <c r="Y38" s="6">
        <f t="shared" si="21"/>
        <v>-1008.5097500000001</v>
      </c>
      <c r="Z38" s="6">
        <v>725.81024999999988</v>
      </c>
      <c r="AA38" s="6">
        <v>2168.67</v>
      </c>
      <c r="AB38" s="7">
        <f t="shared" si="22"/>
        <v>1.9879296965012556</v>
      </c>
      <c r="AC38" s="6">
        <f t="shared" si="23"/>
        <v>-1442.8597500000001</v>
      </c>
      <c r="AD38" s="6">
        <f t="shared" si="24"/>
        <v>4177.4307499999995</v>
      </c>
      <c r="AE38" s="6">
        <f t="shared" si="25"/>
        <v>5945.15</v>
      </c>
      <c r="AF38" s="7">
        <f t="shared" si="26"/>
        <v>0.42315943837010361</v>
      </c>
      <c r="AG38" s="6">
        <f t="shared" si="27"/>
        <v>-1767.7192500000001</v>
      </c>
      <c r="AI38" s="5"/>
    </row>
    <row r="39" spans="1:35" ht="14" x14ac:dyDescent="0.2">
      <c r="A39" s="8"/>
      <c r="B39" s="1"/>
      <c r="C39" s="87">
        <v>1159</v>
      </c>
      <c r="D39" s="87" t="s">
        <v>14</v>
      </c>
      <c r="E39" s="87">
        <v>1159</v>
      </c>
      <c r="F39" s="87" t="s">
        <v>14</v>
      </c>
      <c r="G39" s="87" t="s">
        <v>1</v>
      </c>
      <c r="H39" s="87" t="s">
        <v>41</v>
      </c>
      <c r="I39" s="89" t="s">
        <v>40</v>
      </c>
      <c r="J39" s="6">
        <v>600</v>
      </c>
      <c r="K39" s="6">
        <v>643.08000000000004</v>
      </c>
      <c r="L39" s="7">
        <f t="shared" si="14"/>
        <v>7.1800000000000086E-2</v>
      </c>
      <c r="M39" s="6">
        <f t="shared" si="15"/>
        <v>-43.080000000000041</v>
      </c>
      <c r="N39" s="6">
        <v>600</v>
      </c>
      <c r="O39" s="6">
        <v>669.09</v>
      </c>
      <c r="P39" s="7">
        <f t="shared" si="16"/>
        <v>0.11515000000000009</v>
      </c>
      <c r="Q39" s="6">
        <f t="shared" si="17"/>
        <v>-69.090000000000032</v>
      </c>
      <c r="R39" s="6">
        <v>600</v>
      </c>
      <c r="S39" s="6">
        <v>293.45</v>
      </c>
      <c r="T39" s="7">
        <f t="shared" si="18"/>
        <v>-0.51091666666666669</v>
      </c>
      <c r="U39" s="6">
        <f t="shared" si="19"/>
        <v>306.55</v>
      </c>
      <c r="V39" s="6">
        <v>600</v>
      </c>
      <c r="W39" s="6">
        <v>205</v>
      </c>
      <c r="X39" s="7">
        <f t="shared" si="20"/>
        <v>-0.65833333333333333</v>
      </c>
      <c r="Y39" s="6">
        <f t="shared" si="21"/>
        <v>395</v>
      </c>
      <c r="Z39" s="6">
        <v>600</v>
      </c>
      <c r="AA39" s="6">
        <v>743.12</v>
      </c>
      <c r="AB39" s="7">
        <f t="shared" si="22"/>
        <v>0.23853333333333326</v>
      </c>
      <c r="AC39" s="6">
        <f t="shared" si="23"/>
        <v>-143.12</v>
      </c>
      <c r="AD39" s="6">
        <f t="shared" si="24"/>
        <v>3000</v>
      </c>
      <c r="AE39" s="6">
        <f t="shared" si="25"/>
        <v>2553.7400000000002</v>
      </c>
      <c r="AF39" s="7">
        <f t="shared" si="26"/>
        <v>-0.14875333333333329</v>
      </c>
      <c r="AG39" s="6">
        <f t="shared" si="27"/>
        <v>446.25999999999976</v>
      </c>
      <c r="AI39" s="5"/>
    </row>
    <row r="40" spans="1:35" ht="14" x14ac:dyDescent="0.2">
      <c r="A40" s="8"/>
      <c r="B40" s="1"/>
      <c r="C40" s="87">
        <v>1159</v>
      </c>
      <c r="D40" s="87" t="s">
        <v>14</v>
      </c>
      <c r="E40" s="87">
        <v>1160</v>
      </c>
      <c r="F40" s="87" t="s">
        <v>13</v>
      </c>
      <c r="G40" s="87" t="s">
        <v>1</v>
      </c>
      <c r="H40" s="87" t="s">
        <v>44</v>
      </c>
      <c r="I40" s="89" t="s">
        <v>43</v>
      </c>
      <c r="J40" s="6">
        <v>137.5</v>
      </c>
      <c r="K40" s="6">
        <v>0</v>
      </c>
      <c r="L40" s="7">
        <f t="shared" si="14"/>
        <v>-1</v>
      </c>
      <c r="M40" s="6">
        <f t="shared" si="15"/>
        <v>137.5</v>
      </c>
      <c r="N40" s="6">
        <v>137.5</v>
      </c>
      <c r="O40" s="6">
        <v>0</v>
      </c>
      <c r="P40" s="7">
        <f t="shared" si="16"/>
        <v>-1</v>
      </c>
      <c r="Q40" s="6">
        <f t="shared" si="17"/>
        <v>137.5</v>
      </c>
      <c r="R40" s="6">
        <v>137.5</v>
      </c>
      <c r="S40" s="6">
        <v>55</v>
      </c>
      <c r="T40" s="7">
        <f t="shared" si="18"/>
        <v>-0.6</v>
      </c>
      <c r="U40" s="6">
        <f t="shared" si="19"/>
        <v>82.5</v>
      </c>
      <c r="V40" s="6">
        <v>137.5</v>
      </c>
      <c r="W40" s="6">
        <v>0</v>
      </c>
      <c r="X40" s="7">
        <f t="shared" si="20"/>
        <v>-1</v>
      </c>
      <c r="Y40" s="6">
        <f t="shared" si="21"/>
        <v>137.5</v>
      </c>
      <c r="Z40" s="6">
        <v>137.5</v>
      </c>
      <c r="AA40" s="6">
        <v>0</v>
      </c>
      <c r="AB40" s="7">
        <f t="shared" si="22"/>
        <v>-1</v>
      </c>
      <c r="AC40" s="6">
        <f t="shared" si="23"/>
        <v>137.5</v>
      </c>
      <c r="AD40" s="6">
        <f t="shared" si="24"/>
        <v>687.5</v>
      </c>
      <c r="AE40" s="6">
        <f t="shared" si="25"/>
        <v>55</v>
      </c>
      <c r="AF40" s="7">
        <f t="shared" si="26"/>
        <v>-0.92</v>
      </c>
      <c r="AG40" s="6">
        <f t="shared" si="27"/>
        <v>632.5</v>
      </c>
      <c r="AI40" s="5"/>
    </row>
    <row r="41" spans="1:35" ht="14" x14ac:dyDescent="0.2">
      <c r="A41" s="8"/>
      <c r="B41" s="1"/>
      <c r="C41" s="87">
        <v>1159</v>
      </c>
      <c r="D41" s="87" t="s">
        <v>14</v>
      </c>
      <c r="E41" s="87">
        <v>1160</v>
      </c>
      <c r="F41" s="87" t="s">
        <v>13</v>
      </c>
      <c r="G41" s="87" t="s">
        <v>1</v>
      </c>
      <c r="H41" s="87" t="s">
        <v>0</v>
      </c>
      <c r="I41" s="89" t="s">
        <v>51</v>
      </c>
      <c r="J41" s="6">
        <v>25000</v>
      </c>
      <c r="K41" s="6">
        <v>0</v>
      </c>
      <c r="L41" s="7">
        <f t="shared" si="14"/>
        <v>-1</v>
      </c>
      <c r="M41" s="6">
        <f t="shared" si="15"/>
        <v>25000</v>
      </c>
      <c r="N41" s="6">
        <v>25000</v>
      </c>
      <c r="O41" s="6">
        <v>0</v>
      </c>
      <c r="P41" s="7">
        <f t="shared" si="16"/>
        <v>-1</v>
      </c>
      <c r="Q41" s="6">
        <f t="shared" si="17"/>
        <v>25000</v>
      </c>
      <c r="R41" s="6">
        <v>25000</v>
      </c>
      <c r="S41" s="6">
        <v>0</v>
      </c>
      <c r="T41" s="7">
        <f t="shared" si="18"/>
        <v>-1</v>
      </c>
      <c r="U41" s="6">
        <f t="shared" si="19"/>
        <v>25000</v>
      </c>
      <c r="V41" s="6">
        <v>30000</v>
      </c>
      <c r="W41" s="6">
        <v>0</v>
      </c>
      <c r="X41" s="7">
        <f t="shared" si="20"/>
        <v>-1</v>
      </c>
      <c r="Y41" s="6">
        <f t="shared" si="21"/>
        <v>30000</v>
      </c>
      <c r="Z41" s="6">
        <v>25000</v>
      </c>
      <c r="AA41" s="6">
        <v>0</v>
      </c>
      <c r="AB41" s="7">
        <f t="shared" si="22"/>
        <v>-1</v>
      </c>
      <c r="AC41" s="6">
        <f t="shared" si="23"/>
        <v>25000</v>
      </c>
      <c r="AD41" s="6">
        <f t="shared" si="24"/>
        <v>130000</v>
      </c>
      <c r="AE41" s="6">
        <f t="shared" si="25"/>
        <v>0</v>
      </c>
      <c r="AF41" s="7">
        <f t="shared" si="26"/>
        <v>-1</v>
      </c>
      <c r="AG41" s="6">
        <f t="shared" si="27"/>
        <v>130000</v>
      </c>
      <c r="AI41" s="5"/>
    </row>
    <row r="42" spans="1:35" ht="14" x14ac:dyDescent="0.2">
      <c r="A42" s="8"/>
      <c r="B42" s="1"/>
      <c r="C42" s="87">
        <v>1159</v>
      </c>
      <c r="D42" s="87" t="s">
        <v>14</v>
      </c>
      <c r="E42" s="87">
        <v>1160</v>
      </c>
      <c r="F42" s="87" t="s">
        <v>13</v>
      </c>
      <c r="G42" s="87" t="s">
        <v>1</v>
      </c>
      <c r="H42" s="87" t="s">
        <v>0</v>
      </c>
      <c r="I42" s="89" t="s">
        <v>62</v>
      </c>
      <c r="J42" s="6">
        <v>0</v>
      </c>
      <c r="K42" s="6">
        <v>1570.69</v>
      </c>
      <c r="L42" s="7">
        <f t="shared" si="14"/>
        <v>-1</v>
      </c>
      <c r="M42" s="6">
        <f t="shared" si="15"/>
        <v>-1570.69</v>
      </c>
      <c r="N42" s="6">
        <v>0</v>
      </c>
      <c r="O42" s="6">
        <v>4300.55</v>
      </c>
      <c r="P42" s="7">
        <f t="shared" si="16"/>
        <v>-1</v>
      </c>
      <c r="Q42" s="6">
        <f t="shared" si="17"/>
        <v>-4300.55</v>
      </c>
      <c r="R42" s="6">
        <v>0</v>
      </c>
      <c r="S42" s="6">
        <v>1210.6500000000001</v>
      </c>
      <c r="T42" s="7">
        <f t="shared" si="18"/>
        <v>-1</v>
      </c>
      <c r="U42" s="6">
        <f t="shared" si="19"/>
        <v>-1210.6500000000001</v>
      </c>
      <c r="V42" s="6">
        <v>0</v>
      </c>
      <c r="W42" s="6">
        <v>0</v>
      </c>
      <c r="X42" s="7">
        <f t="shared" si="20"/>
        <v>-1</v>
      </c>
      <c r="Y42" s="6">
        <f t="shared" si="21"/>
        <v>0</v>
      </c>
      <c r="Z42" s="6">
        <v>0</v>
      </c>
      <c r="AA42" s="6">
        <v>5764.92</v>
      </c>
      <c r="AB42" s="7">
        <f t="shared" si="22"/>
        <v>-1</v>
      </c>
      <c r="AC42" s="6">
        <f t="shared" si="23"/>
        <v>-5764.92</v>
      </c>
      <c r="AD42" s="6">
        <f t="shared" si="24"/>
        <v>0</v>
      </c>
      <c r="AE42" s="6">
        <f t="shared" si="25"/>
        <v>12846.81</v>
      </c>
      <c r="AF42" s="7">
        <f t="shared" si="26"/>
        <v>-1</v>
      </c>
      <c r="AG42" s="6">
        <f t="shared" si="27"/>
        <v>-12846.81</v>
      </c>
      <c r="AI42" s="5"/>
    </row>
    <row r="43" spans="1:35" ht="14" x14ac:dyDescent="0.2">
      <c r="A43" s="8"/>
      <c r="B43" s="1"/>
      <c r="C43" s="87">
        <v>1159</v>
      </c>
      <c r="D43" s="87" t="s">
        <v>14</v>
      </c>
      <c r="E43" s="87">
        <v>1160</v>
      </c>
      <c r="F43" s="87" t="s">
        <v>13</v>
      </c>
      <c r="G43" s="87" t="s">
        <v>1</v>
      </c>
      <c r="H43" s="87" t="s">
        <v>66</v>
      </c>
      <c r="I43" s="89" t="s">
        <v>68</v>
      </c>
      <c r="J43" s="6">
        <v>10000</v>
      </c>
      <c r="K43" s="6">
        <v>5000</v>
      </c>
      <c r="L43" s="7">
        <f t="shared" si="14"/>
        <v>-0.5</v>
      </c>
      <c r="M43" s="6">
        <f t="shared" si="15"/>
        <v>5000</v>
      </c>
      <c r="N43" s="6">
        <v>10000</v>
      </c>
      <c r="O43" s="6">
        <v>5000</v>
      </c>
      <c r="P43" s="7">
        <f t="shared" si="16"/>
        <v>-0.5</v>
      </c>
      <c r="Q43" s="6">
        <f t="shared" si="17"/>
        <v>5000</v>
      </c>
      <c r="R43" s="6">
        <v>10000</v>
      </c>
      <c r="S43" s="6">
        <v>251000</v>
      </c>
      <c r="T43" s="7">
        <f t="shared" si="18"/>
        <v>24.1</v>
      </c>
      <c r="U43" s="6">
        <f t="shared" si="19"/>
        <v>-241000</v>
      </c>
      <c r="V43" s="6">
        <v>10000</v>
      </c>
      <c r="W43" s="6">
        <v>100000</v>
      </c>
      <c r="X43" s="7">
        <f t="shared" si="20"/>
        <v>9</v>
      </c>
      <c r="Y43" s="6">
        <f t="shared" si="21"/>
        <v>-90000</v>
      </c>
      <c r="Z43" s="6">
        <v>10000</v>
      </c>
      <c r="AA43" s="6">
        <v>0</v>
      </c>
      <c r="AB43" s="7">
        <f t="shared" si="22"/>
        <v>-1</v>
      </c>
      <c r="AC43" s="6">
        <f t="shared" si="23"/>
        <v>10000</v>
      </c>
      <c r="AD43" s="6">
        <f t="shared" si="24"/>
        <v>50000</v>
      </c>
      <c r="AE43" s="6">
        <f t="shared" si="25"/>
        <v>361000</v>
      </c>
      <c r="AF43" s="7">
        <f t="shared" si="26"/>
        <v>6.22</v>
      </c>
      <c r="AG43" s="6">
        <f t="shared" si="27"/>
        <v>-311000</v>
      </c>
      <c r="AI43" s="5"/>
    </row>
    <row r="44" spans="1:35" ht="14" x14ac:dyDescent="0.2">
      <c r="A44" s="8"/>
      <c r="B44" s="1"/>
      <c r="C44" s="87">
        <v>1159</v>
      </c>
      <c r="D44" s="87" t="s">
        <v>14</v>
      </c>
      <c r="E44" s="87">
        <v>1160</v>
      </c>
      <c r="F44" s="87" t="s">
        <v>13</v>
      </c>
      <c r="G44" s="87" t="s">
        <v>1</v>
      </c>
      <c r="H44" s="87" t="s">
        <v>66</v>
      </c>
      <c r="I44" s="89" t="s">
        <v>67</v>
      </c>
      <c r="J44" s="6">
        <v>7000</v>
      </c>
      <c r="K44" s="6">
        <v>0</v>
      </c>
      <c r="L44" s="7">
        <f t="shared" si="14"/>
        <v>-1</v>
      </c>
      <c r="M44" s="6">
        <f t="shared" si="15"/>
        <v>7000</v>
      </c>
      <c r="N44" s="6">
        <v>7000</v>
      </c>
      <c r="O44" s="6">
        <v>0</v>
      </c>
      <c r="P44" s="7">
        <f t="shared" si="16"/>
        <v>-1</v>
      </c>
      <c r="Q44" s="6">
        <f t="shared" si="17"/>
        <v>7000</v>
      </c>
      <c r="R44" s="6">
        <v>7000</v>
      </c>
      <c r="S44" s="6">
        <v>5000</v>
      </c>
      <c r="T44" s="7">
        <f t="shared" si="18"/>
        <v>-0.2857142857142857</v>
      </c>
      <c r="U44" s="6">
        <f t="shared" si="19"/>
        <v>2000</v>
      </c>
      <c r="V44" s="6">
        <v>7000</v>
      </c>
      <c r="W44" s="6">
        <v>5000</v>
      </c>
      <c r="X44" s="7">
        <f t="shared" si="20"/>
        <v>-0.2857142857142857</v>
      </c>
      <c r="Y44" s="6">
        <f t="shared" si="21"/>
        <v>2000</v>
      </c>
      <c r="Z44" s="6">
        <v>7000</v>
      </c>
      <c r="AA44" s="6">
        <v>5000</v>
      </c>
      <c r="AB44" s="7">
        <f t="shared" si="22"/>
        <v>-0.2857142857142857</v>
      </c>
      <c r="AC44" s="6">
        <f t="shared" si="23"/>
        <v>2000</v>
      </c>
      <c r="AD44" s="6">
        <f t="shared" si="24"/>
        <v>35000</v>
      </c>
      <c r="AE44" s="6">
        <f t="shared" si="25"/>
        <v>15000</v>
      </c>
      <c r="AF44" s="7">
        <f t="shared" si="26"/>
        <v>-0.5714285714285714</v>
      </c>
      <c r="AG44" s="6">
        <f t="shared" si="27"/>
        <v>20000</v>
      </c>
      <c r="AI44" s="5"/>
    </row>
    <row r="45" spans="1:35" ht="14" x14ac:dyDescent="0.2">
      <c r="A45" s="8"/>
      <c r="B45" s="1"/>
      <c r="C45" s="87">
        <v>1159</v>
      </c>
      <c r="D45" s="87" t="s">
        <v>14</v>
      </c>
      <c r="E45" s="87">
        <v>1160</v>
      </c>
      <c r="F45" s="87" t="s">
        <v>13</v>
      </c>
      <c r="G45" s="87" t="s">
        <v>1</v>
      </c>
      <c r="H45" s="87" t="s">
        <v>66</v>
      </c>
      <c r="I45" s="89" t="s">
        <v>65</v>
      </c>
      <c r="J45" s="6">
        <v>5000</v>
      </c>
      <c r="K45" s="6">
        <v>0</v>
      </c>
      <c r="L45" s="7">
        <f t="shared" si="14"/>
        <v>-1</v>
      </c>
      <c r="M45" s="6">
        <f t="shared" si="15"/>
        <v>5000</v>
      </c>
      <c r="N45" s="6">
        <v>5000</v>
      </c>
      <c r="O45" s="6">
        <v>0</v>
      </c>
      <c r="P45" s="7">
        <f t="shared" si="16"/>
        <v>-1</v>
      </c>
      <c r="Q45" s="6">
        <f t="shared" si="17"/>
        <v>5000</v>
      </c>
      <c r="R45" s="6">
        <v>5000</v>
      </c>
      <c r="S45" s="6">
        <v>0</v>
      </c>
      <c r="T45" s="7">
        <f t="shared" si="18"/>
        <v>-1</v>
      </c>
      <c r="U45" s="6">
        <f t="shared" si="19"/>
        <v>5000</v>
      </c>
      <c r="V45" s="6">
        <v>5000</v>
      </c>
      <c r="W45" s="6">
        <v>0</v>
      </c>
      <c r="X45" s="7">
        <f t="shared" si="20"/>
        <v>-1</v>
      </c>
      <c r="Y45" s="6">
        <f t="shared" si="21"/>
        <v>5000</v>
      </c>
      <c r="Z45" s="6">
        <v>5000</v>
      </c>
      <c r="AA45" s="6">
        <v>0</v>
      </c>
      <c r="AB45" s="7">
        <f t="shared" si="22"/>
        <v>-1</v>
      </c>
      <c r="AC45" s="6">
        <f t="shared" si="23"/>
        <v>5000</v>
      </c>
      <c r="AD45" s="6">
        <f t="shared" si="24"/>
        <v>25000</v>
      </c>
      <c r="AE45" s="6">
        <f t="shared" si="25"/>
        <v>0</v>
      </c>
      <c r="AF45" s="7">
        <f t="shared" si="26"/>
        <v>-1</v>
      </c>
      <c r="AG45" s="6">
        <f t="shared" si="27"/>
        <v>25000</v>
      </c>
      <c r="AI45" s="5"/>
    </row>
    <row r="46" spans="1:35" ht="14" x14ac:dyDescent="0.2">
      <c r="A46" s="8"/>
      <c r="B46" s="1"/>
      <c r="C46" s="87">
        <v>1159</v>
      </c>
      <c r="D46" s="87" t="s">
        <v>14</v>
      </c>
      <c r="E46" s="87">
        <v>1160</v>
      </c>
      <c r="F46" s="87" t="s">
        <v>13</v>
      </c>
      <c r="G46" s="87" t="s">
        <v>1</v>
      </c>
      <c r="H46" s="87" t="s">
        <v>46</v>
      </c>
      <c r="I46" s="89" t="s">
        <v>48</v>
      </c>
      <c r="J46" s="6">
        <v>21000</v>
      </c>
      <c r="K46" s="6">
        <v>10732.61</v>
      </c>
      <c r="L46" s="7">
        <f t="shared" si="14"/>
        <v>-0.48892333333333327</v>
      </c>
      <c r="M46" s="6">
        <f t="shared" si="15"/>
        <v>10267.39</v>
      </c>
      <c r="N46" s="6">
        <v>21000</v>
      </c>
      <c r="O46" s="6">
        <v>8447.91</v>
      </c>
      <c r="P46" s="7">
        <f t="shared" si="16"/>
        <v>-0.59771857142857143</v>
      </c>
      <c r="Q46" s="6">
        <f t="shared" si="17"/>
        <v>12552.09</v>
      </c>
      <c r="R46" s="6">
        <v>21000</v>
      </c>
      <c r="S46" s="6">
        <v>1364.14</v>
      </c>
      <c r="T46" s="7">
        <f t="shared" si="18"/>
        <v>-0.93504095238095242</v>
      </c>
      <c r="U46" s="6">
        <f t="shared" si="19"/>
        <v>19635.86</v>
      </c>
      <c r="V46" s="6">
        <v>21000</v>
      </c>
      <c r="W46" s="6">
        <v>-79.3</v>
      </c>
      <c r="X46" s="7">
        <f t="shared" si="20"/>
        <v>-1.0037761904761904</v>
      </c>
      <c r="Y46" s="6">
        <f t="shared" si="21"/>
        <v>21079.3</v>
      </c>
      <c r="Z46" s="6">
        <v>21000</v>
      </c>
      <c r="AA46" s="6">
        <v>171.8</v>
      </c>
      <c r="AB46" s="7">
        <f t="shared" si="22"/>
        <v>-0.9918190476190476</v>
      </c>
      <c r="AC46" s="6">
        <f t="shared" si="23"/>
        <v>20828.2</v>
      </c>
      <c r="AD46" s="6">
        <f t="shared" si="24"/>
        <v>105000</v>
      </c>
      <c r="AE46" s="6">
        <f t="shared" si="25"/>
        <v>20637.16</v>
      </c>
      <c r="AF46" s="7">
        <f t="shared" si="26"/>
        <v>-0.80345561904761909</v>
      </c>
      <c r="AG46" s="6">
        <f t="shared" si="27"/>
        <v>84362.84</v>
      </c>
      <c r="AI46" s="5"/>
    </row>
    <row r="47" spans="1:35" ht="14" x14ac:dyDescent="0.2">
      <c r="A47" s="8"/>
      <c r="B47" s="1"/>
      <c r="C47" s="87">
        <v>1159</v>
      </c>
      <c r="D47" s="87" t="s">
        <v>14</v>
      </c>
      <c r="E47" s="87">
        <v>1160</v>
      </c>
      <c r="F47" s="87" t="s">
        <v>13</v>
      </c>
      <c r="G47" s="87" t="s">
        <v>1</v>
      </c>
      <c r="H47" s="87" t="s">
        <v>41</v>
      </c>
      <c r="I47" s="89" t="s">
        <v>40</v>
      </c>
      <c r="J47" s="6">
        <v>300</v>
      </c>
      <c r="K47" s="6">
        <v>0</v>
      </c>
      <c r="L47" s="7">
        <f t="shared" si="14"/>
        <v>-1</v>
      </c>
      <c r="M47" s="6">
        <f t="shared" si="15"/>
        <v>300</v>
      </c>
      <c r="N47" s="6">
        <v>300</v>
      </c>
      <c r="O47" s="6">
        <v>186</v>
      </c>
      <c r="P47" s="7">
        <f t="shared" si="16"/>
        <v>-0.38</v>
      </c>
      <c r="Q47" s="6">
        <f t="shared" si="17"/>
        <v>114</v>
      </c>
      <c r="R47" s="6">
        <v>300</v>
      </c>
      <c r="S47" s="6">
        <v>0</v>
      </c>
      <c r="T47" s="7">
        <f t="shared" si="18"/>
        <v>-1</v>
      </c>
      <c r="U47" s="6">
        <f t="shared" si="19"/>
        <v>300</v>
      </c>
      <c r="V47" s="6">
        <v>300</v>
      </c>
      <c r="W47" s="6">
        <v>0</v>
      </c>
      <c r="X47" s="7">
        <f t="shared" si="20"/>
        <v>-1</v>
      </c>
      <c r="Y47" s="6">
        <f t="shared" si="21"/>
        <v>300</v>
      </c>
      <c r="Z47" s="6">
        <v>300</v>
      </c>
      <c r="AA47" s="6">
        <v>0</v>
      </c>
      <c r="AB47" s="7">
        <f t="shared" si="22"/>
        <v>-1</v>
      </c>
      <c r="AC47" s="6">
        <f t="shared" si="23"/>
        <v>300</v>
      </c>
      <c r="AD47" s="6">
        <f t="shared" si="24"/>
        <v>1500</v>
      </c>
      <c r="AE47" s="6">
        <f t="shared" si="25"/>
        <v>186</v>
      </c>
      <c r="AF47" s="7">
        <f t="shared" si="26"/>
        <v>-0.876</v>
      </c>
      <c r="AG47" s="6">
        <f t="shared" si="27"/>
        <v>1314</v>
      </c>
      <c r="AI47" s="5"/>
    </row>
    <row r="48" spans="1:35" ht="14" x14ac:dyDescent="0.2">
      <c r="A48" s="8"/>
      <c r="B48" s="1"/>
      <c r="C48" s="87">
        <v>1159</v>
      </c>
      <c r="D48" s="87" t="s">
        <v>14</v>
      </c>
      <c r="E48" s="87">
        <v>1160</v>
      </c>
      <c r="F48" s="87" t="s">
        <v>13</v>
      </c>
      <c r="G48" s="87" t="s">
        <v>1</v>
      </c>
      <c r="H48" s="87" t="s">
        <v>46</v>
      </c>
      <c r="I48" s="89" t="s">
        <v>45</v>
      </c>
      <c r="J48" s="6">
        <v>0</v>
      </c>
      <c r="K48" s="6">
        <v>0</v>
      </c>
      <c r="L48" s="7">
        <f t="shared" ref="L48" si="28">IFERROR(K48/J48*1,"0%")-1</f>
        <v>-1</v>
      </c>
      <c r="M48" s="6">
        <f t="shared" ref="M48" si="29">J48-K48</f>
        <v>0</v>
      </c>
      <c r="N48" s="6">
        <v>0</v>
      </c>
      <c r="O48" s="6">
        <v>0</v>
      </c>
      <c r="P48" s="7">
        <f t="shared" ref="P48" si="30">IFERROR(O48/N48*1,"0%")-1</f>
        <v>-1</v>
      </c>
      <c r="Q48" s="6">
        <f t="shared" ref="Q48" si="31">N48-O48</f>
        <v>0</v>
      </c>
      <c r="R48" s="6">
        <v>0</v>
      </c>
      <c r="S48" s="6">
        <v>0</v>
      </c>
      <c r="T48" s="7">
        <f t="shared" ref="T48" si="32">IFERROR(S48/R48*1,"0%")-1</f>
        <v>-1</v>
      </c>
      <c r="U48" s="6">
        <f t="shared" ref="U48" si="33">R48-S48</f>
        <v>0</v>
      </c>
      <c r="V48" s="6">
        <v>0</v>
      </c>
      <c r="W48" s="6">
        <v>0</v>
      </c>
      <c r="X48" s="7">
        <f t="shared" ref="X48" si="34">IFERROR(W48/V48*1,"0%")-1</f>
        <v>-1</v>
      </c>
      <c r="Y48" s="6">
        <f t="shared" ref="Y48" si="35">V48-W48</f>
        <v>0</v>
      </c>
      <c r="Z48" s="6">
        <v>0</v>
      </c>
      <c r="AA48" s="6">
        <v>97.5</v>
      </c>
      <c r="AB48" s="7">
        <f t="shared" ref="AB48" si="36">IFERROR(AA48/Z48*1,"0%")-1</f>
        <v>-1</v>
      </c>
      <c r="AC48" s="6">
        <f t="shared" ref="AC48" si="37">Z48-AA48</f>
        <v>-97.5</v>
      </c>
      <c r="AD48" s="6">
        <f t="shared" ref="AD48" si="38">J48+N48+R48+V48+Z48</f>
        <v>0</v>
      </c>
      <c r="AE48" s="6">
        <f t="shared" ref="AE48" si="39">K48+O48+S48+W48+AA48</f>
        <v>97.5</v>
      </c>
      <c r="AF48" s="7">
        <f t="shared" ref="AF48" si="40">IFERROR(AE48/AD48*1,"0%")-1</f>
        <v>-1</v>
      </c>
      <c r="AG48" s="6">
        <f t="shared" ref="AG48" si="41">AD48-AE48</f>
        <v>-97.5</v>
      </c>
      <c r="AI48" s="5"/>
    </row>
    <row r="49" spans="1:35" ht="14" x14ac:dyDescent="0.2">
      <c r="A49" s="8"/>
      <c r="B49" s="1"/>
      <c r="C49" s="87">
        <v>1159</v>
      </c>
      <c r="D49" s="87" t="s">
        <v>14</v>
      </c>
      <c r="E49" s="87">
        <v>1150</v>
      </c>
      <c r="F49" s="87" t="s">
        <v>15</v>
      </c>
      <c r="G49" s="87" t="s">
        <v>1</v>
      </c>
      <c r="H49" s="87" t="s">
        <v>3</v>
      </c>
      <c r="I49" s="89" t="s">
        <v>39</v>
      </c>
      <c r="J49" s="6">
        <v>2065.9478260000001</v>
      </c>
      <c r="K49" s="6">
        <v>0</v>
      </c>
      <c r="L49" s="7">
        <f t="shared" ref="L49:L108" si="42">IFERROR(K49/J49*1,"0%")-1</f>
        <v>-1</v>
      </c>
      <c r="M49" s="6">
        <f t="shared" ref="M49:M108" si="43">J49-K49</f>
        <v>2065.9478260000001</v>
      </c>
      <c r="N49" s="6">
        <v>2065.9478260000001</v>
      </c>
      <c r="O49" s="6">
        <v>0</v>
      </c>
      <c r="P49" s="7">
        <f t="shared" ref="P49:P108" si="44">IFERROR(O49/N49*1,"0%")-1</f>
        <v>-1</v>
      </c>
      <c r="Q49" s="6">
        <f t="shared" ref="Q49:Q108" si="45">N49-O49</f>
        <v>2065.9478260000001</v>
      </c>
      <c r="R49" s="6">
        <v>2065.9478260000001</v>
      </c>
      <c r="S49" s="6">
        <v>0</v>
      </c>
      <c r="T49" s="7">
        <f t="shared" ref="T49:T108" si="46">IFERROR(S49/R49*1,"0%")-1</f>
        <v>-1</v>
      </c>
      <c r="U49" s="6">
        <f t="shared" ref="U49:U108" si="47">R49-S49</f>
        <v>2065.9478260000001</v>
      </c>
      <c r="V49" s="6">
        <v>2065.9478260000001</v>
      </c>
      <c r="W49" s="6">
        <v>0</v>
      </c>
      <c r="X49" s="7">
        <f t="shared" ref="X49:X108" si="48">IFERROR(W49/V49*1,"0%")-1</f>
        <v>-1</v>
      </c>
      <c r="Y49" s="6">
        <f t="shared" ref="Y49:Y108" si="49">V49-W49</f>
        <v>2065.9478260000001</v>
      </c>
      <c r="Z49" s="6">
        <v>2331.6792036699999</v>
      </c>
      <c r="AA49" s="6">
        <v>0</v>
      </c>
      <c r="AB49" s="7">
        <f t="shared" ref="AB49:AB108" si="50">IFERROR(AA49/Z49*1,"0%")-1</f>
        <v>-1</v>
      </c>
      <c r="AC49" s="6">
        <f t="shared" ref="AC49:AC108" si="51">Z49-AA49</f>
        <v>2331.6792036699999</v>
      </c>
      <c r="AD49" s="6">
        <f t="shared" ref="AD49:AD108" si="52">J49+N49+R49+V49+Z49</f>
        <v>10595.470507670001</v>
      </c>
      <c r="AE49" s="6">
        <f t="shared" ref="AE49:AE108" si="53">K49+O49+S49+W49+AA49</f>
        <v>0</v>
      </c>
      <c r="AF49" s="7">
        <f t="shared" ref="AF49:AF108" si="54">IFERROR(AE49/AD49*1,"0%")-1</f>
        <v>-1</v>
      </c>
      <c r="AG49" s="6">
        <f t="shared" ref="AG49:AG108" si="55">AD49-AE49</f>
        <v>10595.470507670001</v>
      </c>
      <c r="AI49" s="5"/>
    </row>
    <row r="50" spans="1:35" ht="14" x14ac:dyDescent="0.2">
      <c r="A50" s="8"/>
      <c r="B50" s="1"/>
      <c r="C50" s="87">
        <v>1159</v>
      </c>
      <c r="D50" s="87" t="s">
        <v>14</v>
      </c>
      <c r="E50" s="87">
        <v>1150</v>
      </c>
      <c r="F50" s="87" t="s">
        <v>15</v>
      </c>
      <c r="G50" s="87" t="s">
        <v>1</v>
      </c>
      <c r="H50" s="87" t="s">
        <v>3</v>
      </c>
      <c r="I50" s="89" t="s">
        <v>32</v>
      </c>
      <c r="J50" s="6">
        <v>6190.4120109999985</v>
      </c>
      <c r="K50" s="6">
        <v>5982.31</v>
      </c>
      <c r="L50" s="7">
        <f t="shared" si="42"/>
        <v>-3.3616827220904422E-2</v>
      </c>
      <c r="M50" s="6">
        <f t="shared" si="43"/>
        <v>208.10201099999813</v>
      </c>
      <c r="N50" s="6">
        <v>6190.4120109999985</v>
      </c>
      <c r="O50" s="6">
        <v>5315.64</v>
      </c>
      <c r="P50" s="7">
        <f t="shared" si="44"/>
        <v>-0.14131078988693802</v>
      </c>
      <c r="Q50" s="6">
        <f t="shared" si="45"/>
        <v>874.7720109999982</v>
      </c>
      <c r="R50" s="6">
        <v>6190.4120109999985</v>
      </c>
      <c r="S50" s="6">
        <v>5526.21</v>
      </c>
      <c r="T50" s="7">
        <f t="shared" si="46"/>
        <v>-0.10729528338659056</v>
      </c>
      <c r="U50" s="6">
        <f t="shared" si="47"/>
        <v>664.20201099999849</v>
      </c>
      <c r="V50" s="6">
        <v>6190.4120109999985</v>
      </c>
      <c r="W50" s="6">
        <v>6730.17</v>
      </c>
      <c r="X50" s="7">
        <f t="shared" si="48"/>
        <v>8.7192579111193824E-2</v>
      </c>
      <c r="Y50" s="6">
        <f t="shared" si="49"/>
        <v>-539.75798900000154</v>
      </c>
      <c r="Z50" s="6">
        <v>6986.6502757449989</v>
      </c>
      <c r="AA50" s="6">
        <v>5532.96</v>
      </c>
      <c r="AB50" s="7">
        <f t="shared" si="50"/>
        <v>-0.20806684439203438</v>
      </c>
      <c r="AC50" s="6">
        <f t="shared" si="51"/>
        <v>1453.6902757449989</v>
      </c>
      <c r="AD50" s="6">
        <f t="shared" si="52"/>
        <v>31748.298319744994</v>
      </c>
      <c r="AE50" s="6">
        <f t="shared" si="53"/>
        <v>29087.29</v>
      </c>
      <c r="AF50" s="7">
        <f t="shared" si="54"/>
        <v>-8.38157778708426E-2</v>
      </c>
      <c r="AG50" s="6">
        <f t="shared" si="55"/>
        <v>2661.0083197449931</v>
      </c>
      <c r="AI50" s="5"/>
    </row>
    <row r="51" spans="1:35" ht="14" x14ac:dyDescent="0.2">
      <c r="A51" s="8"/>
      <c r="B51" s="1"/>
      <c r="C51" s="87">
        <v>1159</v>
      </c>
      <c r="D51" s="87" t="s">
        <v>14</v>
      </c>
      <c r="E51" s="87">
        <v>1150</v>
      </c>
      <c r="F51" s="87" t="s">
        <v>15</v>
      </c>
      <c r="G51" s="87" t="s">
        <v>1</v>
      </c>
      <c r="H51" s="87" t="s">
        <v>3</v>
      </c>
      <c r="I51" s="89" t="s">
        <v>42</v>
      </c>
      <c r="J51" s="6">
        <v>0</v>
      </c>
      <c r="K51" s="6">
        <v>0</v>
      </c>
      <c r="L51" s="7">
        <f t="shared" si="42"/>
        <v>-1</v>
      </c>
      <c r="M51" s="6">
        <f t="shared" si="43"/>
        <v>0</v>
      </c>
      <c r="N51" s="6">
        <v>0</v>
      </c>
      <c r="O51" s="6">
        <v>0</v>
      </c>
      <c r="P51" s="7">
        <f t="shared" si="44"/>
        <v>-1</v>
      </c>
      <c r="Q51" s="6">
        <f t="shared" si="45"/>
        <v>0</v>
      </c>
      <c r="R51" s="6">
        <v>0</v>
      </c>
      <c r="S51" s="6">
        <v>0</v>
      </c>
      <c r="T51" s="7">
        <f t="shared" si="46"/>
        <v>-1</v>
      </c>
      <c r="U51" s="6">
        <f t="shared" si="47"/>
        <v>0</v>
      </c>
      <c r="V51" s="6">
        <v>0</v>
      </c>
      <c r="W51" s="6">
        <v>0</v>
      </c>
      <c r="X51" s="7">
        <f t="shared" si="48"/>
        <v>-1</v>
      </c>
      <c r="Y51" s="6">
        <f t="shared" si="49"/>
        <v>0</v>
      </c>
      <c r="Z51" s="6">
        <v>0</v>
      </c>
      <c r="AA51" s="6">
        <v>0</v>
      </c>
      <c r="AB51" s="7">
        <f t="shared" si="50"/>
        <v>-1</v>
      </c>
      <c r="AC51" s="6">
        <f t="shared" si="51"/>
        <v>0</v>
      </c>
      <c r="AD51" s="6">
        <f t="shared" si="52"/>
        <v>0</v>
      </c>
      <c r="AE51" s="6">
        <f t="shared" si="53"/>
        <v>0</v>
      </c>
      <c r="AF51" s="7">
        <f t="shared" si="54"/>
        <v>-1</v>
      </c>
      <c r="AG51" s="6">
        <f t="shared" si="55"/>
        <v>0</v>
      </c>
      <c r="AI51" s="5"/>
    </row>
    <row r="52" spans="1:35" ht="14" x14ac:dyDescent="0.2">
      <c r="A52" s="8"/>
      <c r="B52" s="1"/>
      <c r="C52" s="87">
        <v>1159</v>
      </c>
      <c r="D52" s="87" t="s">
        <v>14</v>
      </c>
      <c r="E52" s="87">
        <v>1150</v>
      </c>
      <c r="F52" s="87" t="s">
        <v>15</v>
      </c>
      <c r="G52" s="87" t="s">
        <v>1</v>
      </c>
      <c r="H52" s="87" t="s">
        <v>3</v>
      </c>
      <c r="I52" s="89" t="s">
        <v>31</v>
      </c>
      <c r="J52" s="6">
        <v>9380.2799999999988</v>
      </c>
      <c r="K52" s="6">
        <v>9596.08</v>
      </c>
      <c r="L52" s="7">
        <f t="shared" si="42"/>
        <v>2.3005709850878686E-2</v>
      </c>
      <c r="M52" s="6">
        <f t="shared" si="43"/>
        <v>-215.80000000000109</v>
      </c>
      <c r="N52" s="6">
        <v>9380.2799999999988</v>
      </c>
      <c r="O52" s="6">
        <v>9596.08</v>
      </c>
      <c r="P52" s="7">
        <f t="shared" si="44"/>
        <v>2.3005709850878686E-2</v>
      </c>
      <c r="Q52" s="6">
        <f t="shared" si="45"/>
        <v>-215.80000000000109</v>
      </c>
      <c r="R52" s="6">
        <v>9380.2799999999988</v>
      </c>
      <c r="S52" s="6">
        <v>7422.56</v>
      </c>
      <c r="T52" s="7">
        <f t="shared" si="46"/>
        <v>-0.20870592349055661</v>
      </c>
      <c r="U52" s="6">
        <f t="shared" si="47"/>
        <v>1957.7199999999984</v>
      </c>
      <c r="V52" s="6">
        <v>9380.2799999999988</v>
      </c>
      <c r="W52" s="6">
        <v>14491.66</v>
      </c>
      <c r="X52" s="7">
        <f t="shared" si="48"/>
        <v>0.54490697505831398</v>
      </c>
      <c r="Y52" s="6">
        <f t="shared" si="49"/>
        <v>-5111.380000000001</v>
      </c>
      <c r="Z52" s="6">
        <v>10035.439999999999</v>
      </c>
      <c r="AA52" s="6">
        <v>14491.66</v>
      </c>
      <c r="AB52" s="7">
        <f t="shared" si="50"/>
        <v>0.44404829285013925</v>
      </c>
      <c r="AC52" s="6">
        <f t="shared" si="51"/>
        <v>-4456.2200000000012</v>
      </c>
      <c r="AD52" s="6">
        <f t="shared" si="52"/>
        <v>47556.56</v>
      </c>
      <c r="AE52" s="6">
        <f t="shared" si="53"/>
        <v>55598.040000000008</v>
      </c>
      <c r="AF52" s="7">
        <f t="shared" si="54"/>
        <v>0.16909297055968753</v>
      </c>
      <c r="AG52" s="6">
        <f t="shared" si="55"/>
        <v>-8041.4800000000105</v>
      </c>
      <c r="AI52" s="5"/>
    </row>
    <row r="53" spans="1:35" ht="14" x14ac:dyDescent="0.2">
      <c r="A53" s="8"/>
      <c r="B53" s="1"/>
      <c r="C53" s="87">
        <v>1159</v>
      </c>
      <c r="D53" s="87" t="s">
        <v>14</v>
      </c>
      <c r="E53" s="87">
        <v>1150</v>
      </c>
      <c r="F53" s="87" t="s">
        <v>15</v>
      </c>
      <c r="G53" s="87" t="s">
        <v>1</v>
      </c>
      <c r="H53" s="87" t="s">
        <v>3</v>
      </c>
      <c r="I53" s="89" t="s">
        <v>30</v>
      </c>
      <c r="J53" s="6">
        <v>375.18000000000006</v>
      </c>
      <c r="K53" s="6">
        <v>461.76</v>
      </c>
      <c r="L53" s="7">
        <f t="shared" si="42"/>
        <v>0.23076923076923062</v>
      </c>
      <c r="M53" s="6">
        <f t="shared" si="43"/>
        <v>-86.579999999999927</v>
      </c>
      <c r="N53" s="6">
        <v>375.18000000000006</v>
      </c>
      <c r="O53" s="6">
        <v>461.76</v>
      </c>
      <c r="P53" s="7">
        <f t="shared" si="44"/>
        <v>0.23076923076923062</v>
      </c>
      <c r="Q53" s="6">
        <f t="shared" si="45"/>
        <v>-86.579999999999927</v>
      </c>
      <c r="R53" s="6">
        <v>375.18000000000006</v>
      </c>
      <c r="S53" s="6">
        <v>317.45999999999998</v>
      </c>
      <c r="T53" s="7">
        <f t="shared" si="46"/>
        <v>-0.15384615384615408</v>
      </c>
      <c r="U53" s="6">
        <f t="shared" si="47"/>
        <v>57.720000000000084</v>
      </c>
      <c r="V53" s="6">
        <v>375.18000000000006</v>
      </c>
      <c r="W53" s="6">
        <v>317.45999999999998</v>
      </c>
      <c r="X53" s="7">
        <f t="shared" si="48"/>
        <v>-0.15384615384615408</v>
      </c>
      <c r="Y53" s="6">
        <f t="shared" si="49"/>
        <v>57.720000000000084</v>
      </c>
      <c r="Z53" s="6">
        <v>406.9260000000001</v>
      </c>
      <c r="AA53" s="6">
        <v>317.45999999999998</v>
      </c>
      <c r="AB53" s="7">
        <f t="shared" si="50"/>
        <v>-0.219858156028369</v>
      </c>
      <c r="AC53" s="6">
        <f t="shared" si="51"/>
        <v>89.466000000000122</v>
      </c>
      <c r="AD53" s="6">
        <f t="shared" si="52"/>
        <v>1907.6460000000004</v>
      </c>
      <c r="AE53" s="6">
        <f t="shared" si="53"/>
        <v>1875.9</v>
      </c>
      <c r="AF53" s="7">
        <f t="shared" si="54"/>
        <v>-1.6641452344932084E-2</v>
      </c>
      <c r="AG53" s="6">
        <f t="shared" si="55"/>
        <v>31.746000000000322</v>
      </c>
      <c r="AI53" s="5"/>
    </row>
    <row r="54" spans="1:35" ht="14" x14ac:dyDescent="0.2">
      <c r="A54" s="8"/>
      <c r="B54" s="1"/>
      <c r="C54" s="87">
        <v>1159</v>
      </c>
      <c r="D54" s="87" t="s">
        <v>14</v>
      </c>
      <c r="E54" s="87">
        <v>1150</v>
      </c>
      <c r="F54" s="87" t="s">
        <v>15</v>
      </c>
      <c r="G54" s="87" t="s">
        <v>1</v>
      </c>
      <c r="H54" s="87" t="s">
        <v>3</v>
      </c>
      <c r="I54" s="89" t="s">
        <v>29</v>
      </c>
      <c r="J54" s="6">
        <v>0</v>
      </c>
      <c r="K54" s="6">
        <v>0</v>
      </c>
      <c r="L54" s="7">
        <f t="shared" si="42"/>
        <v>-1</v>
      </c>
      <c r="M54" s="6">
        <f t="shared" si="43"/>
        <v>0</v>
      </c>
      <c r="N54" s="6">
        <v>0</v>
      </c>
      <c r="O54" s="6">
        <v>0</v>
      </c>
      <c r="P54" s="7">
        <f t="shared" si="44"/>
        <v>-1</v>
      </c>
      <c r="Q54" s="6">
        <f t="shared" si="45"/>
        <v>0</v>
      </c>
      <c r="R54" s="6">
        <v>0</v>
      </c>
      <c r="S54" s="6">
        <v>0</v>
      </c>
      <c r="T54" s="7">
        <f t="shared" si="46"/>
        <v>-1</v>
      </c>
      <c r="U54" s="6">
        <f t="shared" si="47"/>
        <v>0</v>
      </c>
      <c r="V54" s="6">
        <v>0</v>
      </c>
      <c r="W54" s="6">
        <v>0</v>
      </c>
      <c r="X54" s="7">
        <f t="shared" si="48"/>
        <v>-1</v>
      </c>
      <c r="Y54" s="6">
        <f t="shared" si="49"/>
        <v>0</v>
      </c>
      <c r="Z54" s="6">
        <v>0</v>
      </c>
      <c r="AA54" s="6">
        <v>0</v>
      </c>
      <c r="AB54" s="7">
        <f t="shared" si="50"/>
        <v>-1</v>
      </c>
      <c r="AC54" s="6">
        <f t="shared" si="51"/>
        <v>0</v>
      </c>
      <c r="AD54" s="6">
        <f t="shared" si="52"/>
        <v>0</v>
      </c>
      <c r="AE54" s="6">
        <f t="shared" si="53"/>
        <v>0</v>
      </c>
      <c r="AF54" s="7">
        <f t="shared" si="54"/>
        <v>-1</v>
      </c>
      <c r="AG54" s="6">
        <f t="shared" si="55"/>
        <v>0</v>
      </c>
      <c r="AI54" s="5"/>
    </row>
    <row r="55" spans="1:35" ht="14" x14ac:dyDescent="0.2">
      <c r="A55" s="8"/>
      <c r="B55" s="1"/>
      <c r="C55" s="87">
        <v>1159</v>
      </c>
      <c r="D55" s="87" t="s">
        <v>14</v>
      </c>
      <c r="E55" s="87">
        <v>1150</v>
      </c>
      <c r="F55" s="87" t="s">
        <v>15</v>
      </c>
      <c r="G55" s="87" t="s">
        <v>1</v>
      </c>
      <c r="H55" s="87" t="s">
        <v>3</v>
      </c>
      <c r="I55" s="89" t="s">
        <v>28</v>
      </c>
      <c r="J55" s="6">
        <v>0</v>
      </c>
      <c r="K55" s="6">
        <v>0</v>
      </c>
      <c r="L55" s="7">
        <f t="shared" si="42"/>
        <v>-1</v>
      </c>
      <c r="M55" s="6">
        <f t="shared" si="43"/>
        <v>0</v>
      </c>
      <c r="N55" s="6">
        <v>0</v>
      </c>
      <c r="O55" s="6">
        <v>0</v>
      </c>
      <c r="P55" s="7">
        <f t="shared" si="44"/>
        <v>-1</v>
      </c>
      <c r="Q55" s="6">
        <f t="shared" si="45"/>
        <v>0</v>
      </c>
      <c r="R55" s="6">
        <v>0</v>
      </c>
      <c r="S55" s="6">
        <v>0</v>
      </c>
      <c r="T55" s="7">
        <f t="shared" si="46"/>
        <v>-1</v>
      </c>
      <c r="U55" s="6">
        <f t="shared" si="47"/>
        <v>0</v>
      </c>
      <c r="V55" s="6">
        <v>15121.663411111111</v>
      </c>
      <c r="W55" s="6">
        <v>14847.25</v>
      </c>
      <c r="X55" s="7">
        <f t="shared" si="48"/>
        <v>-1.8147038698763551E-2</v>
      </c>
      <c r="Y55" s="6">
        <f t="shared" si="49"/>
        <v>274.41341111111069</v>
      </c>
      <c r="Z55" s="6">
        <v>16171.663411111111</v>
      </c>
      <c r="AA55" s="6">
        <v>14907.25</v>
      </c>
      <c r="AB55" s="7">
        <f t="shared" si="50"/>
        <v>-7.818697303843003E-2</v>
      </c>
      <c r="AC55" s="6">
        <f t="shared" si="51"/>
        <v>1264.4134111111107</v>
      </c>
      <c r="AD55" s="6">
        <f t="shared" si="52"/>
        <v>31293.326822222221</v>
      </c>
      <c r="AE55" s="6">
        <f t="shared" si="53"/>
        <v>29754.5</v>
      </c>
      <c r="AF55" s="7">
        <f t="shared" si="54"/>
        <v>-4.9174280221604971E-2</v>
      </c>
      <c r="AG55" s="6">
        <f t="shared" si="55"/>
        <v>1538.8268222222214</v>
      </c>
      <c r="AI55" s="5"/>
    </row>
    <row r="56" spans="1:35" ht="14" x14ac:dyDescent="0.2">
      <c r="A56" s="8"/>
      <c r="B56" s="1"/>
      <c r="C56" s="87">
        <v>1159</v>
      </c>
      <c r="D56" s="87" t="s">
        <v>14</v>
      </c>
      <c r="E56" s="87">
        <v>1150</v>
      </c>
      <c r="F56" s="87" t="s">
        <v>15</v>
      </c>
      <c r="G56" s="87" t="s">
        <v>1</v>
      </c>
      <c r="H56" s="87" t="s">
        <v>3</v>
      </c>
      <c r="I56" s="89" t="s">
        <v>27</v>
      </c>
      <c r="J56" s="6">
        <v>5945.1736000000001</v>
      </c>
      <c r="K56" s="6">
        <v>6240.41</v>
      </c>
      <c r="L56" s="7">
        <f t="shared" si="42"/>
        <v>4.9659845088459553E-2</v>
      </c>
      <c r="M56" s="6">
        <f t="shared" si="43"/>
        <v>-295.23639999999978</v>
      </c>
      <c r="N56" s="6">
        <v>5945.1736000000001</v>
      </c>
      <c r="O56" s="6">
        <v>5226.0600000000004</v>
      </c>
      <c r="P56" s="7">
        <f t="shared" si="44"/>
        <v>-0.1209575444525286</v>
      </c>
      <c r="Q56" s="6">
        <f t="shared" si="45"/>
        <v>719.11359999999968</v>
      </c>
      <c r="R56" s="6">
        <v>5945.1736000000001</v>
      </c>
      <c r="S56" s="6">
        <v>5300.68</v>
      </c>
      <c r="T56" s="7">
        <f t="shared" si="46"/>
        <v>-0.10840618682690772</v>
      </c>
      <c r="U56" s="6">
        <f t="shared" si="47"/>
        <v>644.49359999999979</v>
      </c>
      <c r="V56" s="6">
        <v>5945.1736000000001</v>
      </c>
      <c r="W56" s="6">
        <v>5807.62</v>
      </c>
      <c r="X56" s="7">
        <f t="shared" si="48"/>
        <v>-2.3137019918139989E-2</v>
      </c>
      <c r="Y56" s="6">
        <f t="shared" si="49"/>
        <v>137.55360000000019</v>
      </c>
      <c r="Z56" s="6">
        <v>6709.8682119999994</v>
      </c>
      <c r="AA56" s="6">
        <v>27987.75</v>
      </c>
      <c r="AB56" s="7">
        <f t="shared" si="50"/>
        <v>3.1711325939228452</v>
      </c>
      <c r="AC56" s="6">
        <f t="shared" si="51"/>
        <v>-21277.881787999999</v>
      </c>
      <c r="AD56" s="6">
        <f t="shared" si="52"/>
        <v>30490.562612000002</v>
      </c>
      <c r="AE56" s="6">
        <f t="shared" si="53"/>
        <v>50562.520000000004</v>
      </c>
      <c r="AF56" s="7">
        <f t="shared" si="54"/>
        <v>0.65830065661367598</v>
      </c>
      <c r="AG56" s="6">
        <f t="shared" si="55"/>
        <v>-20071.957388000003</v>
      </c>
      <c r="AI56" s="5"/>
    </row>
    <row r="57" spans="1:35" ht="14" x14ac:dyDescent="0.2">
      <c r="A57" s="8"/>
      <c r="B57" s="1"/>
      <c r="C57" s="87">
        <v>1159</v>
      </c>
      <c r="D57" s="87" t="s">
        <v>14</v>
      </c>
      <c r="E57" s="87">
        <v>1150</v>
      </c>
      <c r="F57" s="87" t="s">
        <v>15</v>
      </c>
      <c r="G57" s="87" t="s">
        <v>1</v>
      </c>
      <c r="H57" s="87" t="s">
        <v>3</v>
      </c>
      <c r="I57" s="89" t="s">
        <v>26</v>
      </c>
      <c r="J57" s="6">
        <v>165.27582608</v>
      </c>
      <c r="K57" s="6">
        <v>0</v>
      </c>
      <c r="L57" s="7">
        <f t="shared" si="42"/>
        <v>-1</v>
      </c>
      <c r="M57" s="6">
        <f t="shared" si="43"/>
        <v>165.27582608</v>
      </c>
      <c r="N57" s="6">
        <v>165.27582608</v>
      </c>
      <c r="O57" s="6">
        <v>0</v>
      </c>
      <c r="P57" s="7">
        <f t="shared" si="44"/>
        <v>-1</v>
      </c>
      <c r="Q57" s="6">
        <f t="shared" si="45"/>
        <v>165.27582608</v>
      </c>
      <c r="R57" s="6">
        <v>165.27582608</v>
      </c>
      <c r="S57" s="6">
        <v>0</v>
      </c>
      <c r="T57" s="7">
        <f t="shared" si="46"/>
        <v>-1</v>
      </c>
      <c r="U57" s="6">
        <f t="shared" si="47"/>
        <v>165.27582608</v>
      </c>
      <c r="V57" s="6">
        <v>165.27582608</v>
      </c>
      <c r="W57" s="6">
        <v>0</v>
      </c>
      <c r="X57" s="7">
        <f t="shared" si="48"/>
        <v>-1</v>
      </c>
      <c r="Y57" s="6">
        <f t="shared" si="49"/>
        <v>165.27582608</v>
      </c>
      <c r="Z57" s="6">
        <v>186.53433629359998</v>
      </c>
      <c r="AA57" s="6">
        <v>0</v>
      </c>
      <c r="AB57" s="7">
        <f t="shared" si="50"/>
        <v>-1</v>
      </c>
      <c r="AC57" s="6">
        <f t="shared" si="51"/>
        <v>186.53433629359998</v>
      </c>
      <c r="AD57" s="6">
        <f t="shared" si="52"/>
        <v>847.63764061359996</v>
      </c>
      <c r="AE57" s="6">
        <f t="shared" si="53"/>
        <v>0</v>
      </c>
      <c r="AF57" s="7">
        <f t="shared" si="54"/>
        <v>-1</v>
      </c>
      <c r="AG57" s="6">
        <f t="shared" si="55"/>
        <v>847.63764061359996</v>
      </c>
      <c r="AI57" s="5"/>
    </row>
    <row r="58" spans="1:35" ht="14" x14ac:dyDescent="0.2">
      <c r="A58" s="8"/>
      <c r="B58" s="1"/>
      <c r="C58" s="87">
        <v>1159</v>
      </c>
      <c r="D58" s="87" t="s">
        <v>14</v>
      </c>
      <c r="E58" s="87">
        <v>1150</v>
      </c>
      <c r="F58" s="87" t="s">
        <v>15</v>
      </c>
      <c r="G58" s="87" t="s">
        <v>1</v>
      </c>
      <c r="H58" s="87" t="s">
        <v>3</v>
      </c>
      <c r="I58" s="89" t="s">
        <v>25</v>
      </c>
      <c r="J58" s="6">
        <v>495.23296088000006</v>
      </c>
      <c r="K58" s="6">
        <v>3748.52</v>
      </c>
      <c r="L58" s="7">
        <f t="shared" si="42"/>
        <v>6.5692053964645218</v>
      </c>
      <c r="M58" s="6">
        <f t="shared" si="43"/>
        <v>-3253.2870391199999</v>
      </c>
      <c r="N58" s="6">
        <v>495.23296088000006</v>
      </c>
      <c r="O58" s="6">
        <v>425.24</v>
      </c>
      <c r="P58" s="7">
        <f t="shared" si="44"/>
        <v>-0.14133340550602014</v>
      </c>
      <c r="Q58" s="6">
        <f t="shared" si="45"/>
        <v>69.992960880000055</v>
      </c>
      <c r="R58" s="6">
        <v>495.23296088000006</v>
      </c>
      <c r="S58" s="6">
        <v>442.1</v>
      </c>
      <c r="T58" s="7">
        <f t="shared" si="46"/>
        <v>-0.10728882178113885</v>
      </c>
      <c r="U58" s="6">
        <f t="shared" si="47"/>
        <v>53.132960880000041</v>
      </c>
      <c r="V58" s="6">
        <v>495.23296088000006</v>
      </c>
      <c r="W58" s="6">
        <v>538.38</v>
      </c>
      <c r="X58" s="7">
        <f t="shared" si="48"/>
        <v>8.7124732253948123E-2</v>
      </c>
      <c r="Y58" s="6">
        <f t="shared" si="49"/>
        <v>-43.147039119999931</v>
      </c>
      <c r="Z58" s="6">
        <v>558.93202205960006</v>
      </c>
      <c r="AA58" s="6">
        <v>442.66</v>
      </c>
      <c r="AB58" s="7">
        <f t="shared" si="50"/>
        <v>-0.20802533666106848</v>
      </c>
      <c r="AC58" s="6">
        <f t="shared" si="51"/>
        <v>116.27202205960003</v>
      </c>
      <c r="AD58" s="6">
        <f t="shared" si="52"/>
        <v>2539.8638655796003</v>
      </c>
      <c r="AE58" s="6">
        <f t="shared" si="53"/>
        <v>5596.9000000000005</v>
      </c>
      <c r="AF58" s="7">
        <f t="shared" si="54"/>
        <v>1.2036220428384183</v>
      </c>
      <c r="AG58" s="6">
        <f t="shared" si="55"/>
        <v>-3057.0361344204002</v>
      </c>
      <c r="AI58" s="5"/>
    </row>
    <row r="59" spans="1:35" ht="14" x14ac:dyDescent="0.2">
      <c r="A59" s="8"/>
      <c r="B59" s="1"/>
      <c r="C59" s="87">
        <v>1159</v>
      </c>
      <c r="D59" s="87" t="s">
        <v>14</v>
      </c>
      <c r="E59" s="87">
        <v>1150</v>
      </c>
      <c r="F59" s="87" t="s">
        <v>15</v>
      </c>
      <c r="G59" s="87" t="s">
        <v>1</v>
      </c>
      <c r="H59" s="87" t="s">
        <v>3</v>
      </c>
      <c r="I59" s="89" t="s">
        <v>24</v>
      </c>
      <c r="J59" s="6">
        <v>6539.6909600000008</v>
      </c>
      <c r="K59" s="6">
        <v>14730.9</v>
      </c>
      <c r="L59" s="7">
        <f t="shared" si="42"/>
        <v>1.252537633674359</v>
      </c>
      <c r="M59" s="6">
        <f t="shared" si="43"/>
        <v>-8191.2090399999988</v>
      </c>
      <c r="N59" s="6">
        <v>6539.6909600000008</v>
      </c>
      <c r="O59" s="6">
        <v>5799.46</v>
      </c>
      <c r="P59" s="7">
        <f t="shared" si="44"/>
        <v>-0.1131905107638298</v>
      </c>
      <c r="Q59" s="6">
        <f t="shared" si="45"/>
        <v>740.23096000000078</v>
      </c>
      <c r="R59" s="6">
        <v>6539.6909600000008</v>
      </c>
      <c r="S59" s="6">
        <v>12292.13</v>
      </c>
      <c r="T59" s="7">
        <f t="shared" si="46"/>
        <v>0.87961940024150587</v>
      </c>
      <c r="U59" s="6">
        <f t="shared" si="47"/>
        <v>-5752.4390399999984</v>
      </c>
      <c r="V59" s="6">
        <v>6539.6909600000008</v>
      </c>
      <c r="W59" s="6">
        <v>13467.66</v>
      </c>
      <c r="X59" s="7">
        <f t="shared" si="48"/>
        <v>1.0593725425826541</v>
      </c>
      <c r="Y59" s="6">
        <f t="shared" si="49"/>
        <v>-6927.969039999999</v>
      </c>
      <c r="Z59" s="6">
        <v>7380.8550332000013</v>
      </c>
      <c r="AA59" s="6">
        <v>13132.51</v>
      </c>
      <c r="AB59" s="7">
        <f t="shared" si="50"/>
        <v>0.77926675716137783</v>
      </c>
      <c r="AC59" s="6">
        <f t="shared" si="51"/>
        <v>-5751.6549667999989</v>
      </c>
      <c r="AD59" s="6">
        <f t="shared" si="52"/>
        <v>33539.618873200001</v>
      </c>
      <c r="AE59" s="6">
        <f t="shared" si="53"/>
        <v>59422.659999999996</v>
      </c>
      <c r="AF59" s="7">
        <f t="shared" si="54"/>
        <v>0.77171542183152142</v>
      </c>
      <c r="AG59" s="6">
        <f t="shared" si="55"/>
        <v>-25883.041126799995</v>
      </c>
      <c r="AI59" s="5"/>
    </row>
    <row r="60" spans="1:35" ht="14" x14ac:dyDescent="0.2">
      <c r="A60" s="8"/>
      <c r="B60" s="1"/>
      <c r="C60" s="87">
        <v>1159</v>
      </c>
      <c r="D60" s="87" t="s">
        <v>14</v>
      </c>
      <c r="E60" s="87">
        <v>1150</v>
      </c>
      <c r="F60" s="87" t="s">
        <v>15</v>
      </c>
      <c r="G60" s="87" t="s">
        <v>1</v>
      </c>
      <c r="H60" s="87" t="s">
        <v>3</v>
      </c>
      <c r="I60" s="89" t="s">
        <v>23</v>
      </c>
      <c r="J60" s="6">
        <v>181.80340868800002</v>
      </c>
      <c r="K60" s="6">
        <v>0</v>
      </c>
      <c r="L60" s="7">
        <f t="shared" si="42"/>
        <v>-1</v>
      </c>
      <c r="M60" s="6">
        <f t="shared" si="43"/>
        <v>181.80340868800002</v>
      </c>
      <c r="N60" s="6">
        <v>181.80340868800002</v>
      </c>
      <c r="O60" s="6">
        <v>0</v>
      </c>
      <c r="P60" s="7">
        <f t="shared" si="44"/>
        <v>-1</v>
      </c>
      <c r="Q60" s="6">
        <f t="shared" si="45"/>
        <v>181.80340868800002</v>
      </c>
      <c r="R60" s="6">
        <v>181.80340868800002</v>
      </c>
      <c r="S60" s="6">
        <v>0</v>
      </c>
      <c r="T60" s="7">
        <f t="shared" si="46"/>
        <v>-1</v>
      </c>
      <c r="U60" s="6">
        <f t="shared" si="47"/>
        <v>181.80340868800002</v>
      </c>
      <c r="V60" s="6">
        <v>181.80340868800002</v>
      </c>
      <c r="W60" s="6">
        <v>0</v>
      </c>
      <c r="X60" s="7">
        <f t="shared" si="48"/>
        <v>-1</v>
      </c>
      <c r="Y60" s="6">
        <f t="shared" si="49"/>
        <v>181.80340868800002</v>
      </c>
      <c r="Z60" s="6">
        <v>205.18776992296003</v>
      </c>
      <c r="AA60" s="6">
        <v>0</v>
      </c>
      <c r="AB60" s="7">
        <f t="shared" si="50"/>
        <v>-1</v>
      </c>
      <c r="AC60" s="6">
        <f t="shared" si="51"/>
        <v>205.18776992296003</v>
      </c>
      <c r="AD60" s="6">
        <f t="shared" si="52"/>
        <v>932.40140467496008</v>
      </c>
      <c r="AE60" s="6">
        <f t="shared" si="53"/>
        <v>0</v>
      </c>
      <c r="AF60" s="7">
        <f t="shared" si="54"/>
        <v>-1</v>
      </c>
      <c r="AG60" s="6">
        <f t="shared" si="55"/>
        <v>932.40140467496008</v>
      </c>
      <c r="AI60" s="5"/>
    </row>
    <row r="61" spans="1:35" ht="14" x14ac:dyDescent="0.2">
      <c r="A61" s="8"/>
      <c r="B61" s="1"/>
      <c r="C61" s="87">
        <v>1159</v>
      </c>
      <c r="D61" s="87" t="s">
        <v>14</v>
      </c>
      <c r="E61" s="87">
        <v>1150</v>
      </c>
      <c r="F61" s="87" t="s">
        <v>15</v>
      </c>
      <c r="G61" s="87" t="s">
        <v>1</v>
      </c>
      <c r="H61" s="87" t="s">
        <v>3</v>
      </c>
      <c r="I61" s="89" t="s">
        <v>22</v>
      </c>
      <c r="J61" s="6">
        <v>206.5947826</v>
      </c>
      <c r="K61" s="6">
        <v>0</v>
      </c>
      <c r="L61" s="7">
        <f t="shared" si="42"/>
        <v>-1</v>
      </c>
      <c r="M61" s="6">
        <f t="shared" si="43"/>
        <v>206.5947826</v>
      </c>
      <c r="N61" s="6">
        <v>206.5947826</v>
      </c>
      <c r="O61" s="6">
        <v>0</v>
      </c>
      <c r="P61" s="7">
        <f t="shared" si="44"/>
        <v>-1</v>
      </c>
      <c r="Q61" s="6">
        <f t="shared" si="45"/>
        <v>206.5947826</v>
      </c>
      <c r="R61" s="6">
        <v>206.5947826</v>
      </c>
      <c r="S61" s="6">
        <v>0</v>
      </c>
      <c r="T61" s="7">
        <f t="shared" si="46"/>
        <v>-1</v>
      </c>
      <c r="U61" s="6">
        <f t="shared" si="47"/>
        <v>206.5947826</v>
      </c>
      <c r="V61" s="6">
        <v>206.5947826</v>
      </c>
      <c r="W61" s="6">
        <v>0</v>
      </c>
      <c r="X61" s="7">
        <f t="shared" si="48"/>
        <v>-1</v>
      </c>
      <c r="Y61" s="6">
        <f t="shared" si="49"/>
        <v>206.5947826</v>
      </c>
      <c r="Z61" s="6">
        <v>233.16792036700002</v>
      </c>
      <c r="AA61" s="6">
        <v>0</v>
      </c>
      <c r="AB61" s="7">
        <f t="shared" si="50"/>
        <v>-1</v>
      </c>
      <c r="AC61" s="6">
        <f t="shared" si="51"/>
        <v>233.16792036700002</v>
      </c>
      <c r="AD61" s="6">
        <f t="shared" si="52"/>
        <v>1059.547050767</v>
      </c>
      <c r="AE61" s="6">
        <f t="shared" si="53"/>
        <v>0</v>
      </c>
      <c r="AF61" s="7">
        <f t="shared" si="54"/>
        <v>-1</v>
      </c>
      <c r="AG61" s="6">
        <f t="shared" si="55"/>
        <v>1059.547050767</v>
      </c>
      <c r="AI61" s="5"/>
    </row>
    <row r="62" spans="1:35" ht="14" x14ac:dyDescent="0.2">
      <c r="A62" s="8"/>
      <c r="B62" s="1"/>
      <c r="C62" s="87">
        <v>1159</v>
      </c>
      <c r="D62" s="87" t="s">
        <v>14</v>
      </c>
      <c r="E62" s="87">
        <v>1150</v>
      </c>
      <c r="F62" s="87" t="s">
        <v>15</v>
      </c>
      <c r="G62" s="87" t="s">
        <v>1</v>
      </c>
      <c r="H62" s="87" t="s">
        <v>3</v>
      </c>
      <c r="I62" s="89" t="s">
        <v>21</v>
      </c>
      <c r="J62" s="6">
        <v>544.756256968</v>
      </c>
      <c r="K62" s="6">
        <v>511.58</v>
      </c>
      <c r="L62" s="7">
        <f t="shared" si="42"/>
        <v>-6.0901103096368536E-2</v>
      </c>
      <c r="M62" s="6">
        <f t="shared" si="43"/>
        <v>33.176256968000018</v>
      </c>
      <c r="N62" s="6">
        <v>544.756256968</v>
      </c>
      <c r="O62" s="6">
        <v>454.59</v>
      </c>
      <c r="P62" s="7">
        <f t="shared" si="44"/>
        <v>-0.16551669818323278</v>
      </c>
      <c r="Q62" s="6">
        <f t="shared" si="45"/>
        <v>90.166256968000027</v>
      </c>
      <c r="R62" s="6">
        <v>544.756256968</v>
      </c>
      <c r="S62" s="6">
        <v>472.58</v>
      </c>
      <c r="T62" s="7">
        <f t="shared" si="46"/>
        <v>-0.13249275441041841</v>
      </c>
      <c r="U62" s="6">
        <f t="shared" si="47"/>
        <v>72.176256968000018</v>
      </c>
      <c r="V62" s="6">
        <v>544.756256968</v>
      </c>
      <c r="W62" s="6">
        <v>575.54</v>
      </c>
      <c r="X62" s="7">
        <f t="shared" si="48"/>
        <v>5.6509205058673073E-2</v>
      </c>
      <c r="Y62" s="6">
        <f t="shared" si="49"/>
        <v>-30.783743031999961</v>
      </c>
      <c r="Z62" s="6">
        <v>614.82522426556</v>
      </c>
      <c r="AA62" s="6">
        <v>1026.45</v>
      </c>
      <c r="AB62" s="7">
        <f t="shared" si="50"/>
        <v>0.66949884209150134</v>
      </c>
      <c r="AC62" s="6">
        <f t="shared" si="51"/>
        <v>-411.62477573444005</v>
      </c>
      <c r="AD62" s="6">
        <f t="shared" si="52"/>
        <v>2793.8502521375599</v>
      </c>
      <c r="AE62" s="6">
        <f t="shared" si="53"/>
        <v>3040.74</v>
      </c>
      <c r="AF62" s="7">
        <f t="shared" si="54"/>
        <v>8.8368998185763825E-2</v>
      </c>
      <c r="AG62" s="6">
        <f t="shared" si="55"/>
        <v>-246.88974786243989</v>
      </c>
      <c r="AI62" s="5"/>
    </row>
    <row r="63" spans="1:35" ht="14" x14ac:dyDescent="0.2">
      <c r="A63" s="8"/>
      <c r="B63" s="1"/>
      <c r="C63" s="87">
        <v>1159</v>
      </c>
      <c r="D63" s="87" t="s">
        <v>14</v>
      </c>
      <c r="E63" s="87">
        <v>1150</v>
      </c>
      <c r="F63" s="87" t="s">
        <v>15</v>
      </c>
      <c r="G63" s="87" t="s">
        <v>1</v>
      </c>
      <c r="H63" s="87" t="s">
        <v>3</v>
      </c>
      <c r="I63" s="89" t="s">
        <v>20</v>
      </c>
      <c r="J63" s="6">
        <v>619.04120110000008</v>
      </c>
      <c r="K63" s="6">
        <v>0</v>
      </c>
      <c r="L63" s="7">
        <f t="shared" si="42"/>
        <v>-1</v>
      </c>
      <c r="M63" s="6">
        <f t="shared" si="43"/>
        <v>619.04120110000008</v>
      </c>
      <c r="N63" s="6">
        <v>619.04120110000008</v>
      </c>
      <c r="O63" s="6">
        <v>0</v>
      </c>
      <c r="P63" s="7">
        <f t="shared" si="44"/>
        <v>-1</v>
      </c>
      <c r="Q63" s="6">
        <f t="shared" si="45"/>
        <v>619.04120110000008</v>
      </c>
      <c r="R63" s="6">
        <v>619.04120110000008</v>
      </c>
      <c r="S63" s="6">
        <v>0</v>
      </c>
      <c r="T63" s="7">
        <f t="shared" si="46"/>
        <v>-1</v>
      </c>
      <c r="U63" s="6">
        <f t="shared" si="47"/>
        <v>619.04120110000008</v>
      </c>
      <c r="V63" s="6">
        <v>619.04120110000008</v>
      </c>
      <c r="W63" s="6">
        <v>0</v>
      </c>
      <c r="X63" s="7">
        <f t="shared" si="48"/>
        <v>-1</v>
      </c>
      <c r="Y63" s="6">
        <f t="shared" si="49"/>
        <v>619.04120110000008</v>
      </c>
      <c r="Z63" s="6">
        <v>698.66502757450007</v>
      </c>
      <c r="AA63" s="6">
        <v>0</v>
      </c>
      <c r="AB63" s="7">
        <f t="shared" si="50"/>
        <v>-1</v>
      </c>
      <c r="AC63" s="6">
        <f t="shared" si="51"/>
        <v>698.66502757450007</v>
      </c>
      <c r="AD63" s="6">
        <f t="shared" si="52"/>
        <v>3174.8298319745004</v>
      </c>
      <c r="AE63" s="6">
        <f t="shared" si="53"/>
        <v>0</v>
      </c>
      <c r="AF63" s="7">
        <f t="shared" si="54"/>
        <v>-1</v>
      </c>
      <c r="AG63" s="6">
        <f t="shared" si="55"/>
        <v>3174.8298319745004</v>
      </c>
      <c r="AI63" s="5"/>
    </row>
    <row r="64" spans="1:35" ht="14" x14ac:dyDescent="0.2">
      <c r="A64" s="8"/>
      <c r="B64" s="1"/>
      <c r="C64" s="87">
        <v>1159</v>
      </c>
      <c r="D64" s="87" t="s">
        <v>14</v>
      </c>
      <c r="E64" s="87">
        <v>1150</v>
      </c>
      <c r="F64" s="87" t="s">
        <v>15</v>
      </c>
      <c r="G64" s="87" t="s">
        <v>1</v>
      </c>
      <c r="H64" s="87" t="s">
        <v>3</v>
      </c>
      <c r="I64" s="89" t="s">
        <v>19</v>
      </c>
      <c r="J64" s="6">
        <v>7431.4670000000006</v>
      </c>
      <c r="K64" s="6">
        <v>0</v>
      </c>
      <c r="L64" s="7">
        <f t="shared" si="42"/>
        <v>-1</v>
      </c>
      <c r="M64" s="6">
        <f t="shared" si="43"/>
        <v>7431.4670000000006</v>
      </c>
      <c r="N64" s="6">
        <v>7431.4670000000006</v>
      </c>
      <c r="O64" s="6">
        <v>6599.32</v>
      </c>
      <c r="P64" s="7">
        <f t="shared" si="44"/>
        <v>-0.11197614145363233</v>
      </c>
      <c r="Q64" s="6">
        <f t="shared" si="45"/>
        <v>832.14700000000084</v>
      </c>
      <c r="R64" s="6">
        <v>7431.4670000000006</v>
      </c>
      <c r="S64" s="6">
        <v>0</v>
      </c>
      <c r="T64" s="7">
        <f t="shared" si="46"/>
        <v>-1</v>
      </c>
      <c r="U64" s="6">
        <f t="shared" si="47"/>
        <v>7431.4670000000006</v>
      </c>
      <c r="V64" s="6">
        <v>7431.4670000000006</v>
      </c>
      <c r="W64" s="6">
        <v>0</v>
      </c>
      <c r="X64" s="7">
        <f t="shared" si="48"/>
        <v>-1</v>
      </c>
      <c r="Y64" s="6">
        <f t="shared" si="49"/>
        <v>7431.4670000000006</v>
      </c>
      <c r="Z64" s="6">
        <v>8387.3352649999997</v>
      </c>
      <c r="AA64" s="6">
        <v>0</v>
      </c>
      <c r="AB64" s="7">
        <f t="shared" si="50"/>
        <v>-1</v>
      </c>
      <c r="AC64" s="6">
        <f t="shared" si="51"/>
        <v>8387.3352649999997</v>
      </c>
      <c r="AD64" s="6">
        <f t="shared" si="52"/>
        <v>38113.203265000004</v>
      </c>
      <c r="AE64" s="6">
        <f t="shared" si="53"/>
        <v>6599.32</v>
      </c>
      <c r="AF64" s="7">
        <f t="shared" si="54"/>
        <v>-0.82684950529833146</v>
      </c>
      <c r="AG64" s="6">
        <f t="shared" si="55"/>
        <v>31513.883265000004</v>
      </c>
      <c r="AI64" s="5"/>
    </row>
    <row r="65" spans="1:35" ht="14" x14ac:dyDescent="0.2">
      <c r="A65" s="8"/>
      <c r="B65" s="1"/>
      <c r="C65" s="87">
        <v>1159</v>
      </c>
      <c r="D65" s="87" t="s">
        <v>14</v>
      </c>
      <c r="E65" s="87">
        <v>1150</v>
      </c>
      <c r="F65" s="87" t="s">
        <v>15</v>
      </c>
      <c r="G65" s="87" t="s">
        <v>1</v>
      </c>
      <c r="H65" s="87" t="s">
        <v>3</v>
      </c>
      <c r="I65" s="89" t="s">
        <v>18</v>
      </c>
      <c r="J65" s="6">
        <v>72484.428199999995</v>
      </c>
      <c r="K65" s="6">
        <v>51203.89</v>
      </c>
      <c r="L65" s="7">
        <f t="shared" si="42"/>
        <v>-0.29358772261102006</v>
      </c>
      <c r="M65" s="6">
        <f t="shared" si="43"/>
        <v>21280.538199999995</v>
      </c>
      <c r="N65" s="6">
        <v>72484.428199999995</v>
      </c>
      <c r="O65" s="6">
        <v>61787.79</v>
      </c>
      <c r="P65" s="7">
        <f t="shared" si="44"/>
        <v>-0.14757153316413962</v>
      </c>
      <c r="Q65" s="6">
        <f t="shared" si="45"/>
        <v>10696.638199999994</v>
      </c>
      <c r="R65" s="6">
        <v>72484.428199999995</v>
      </c>
      <c r="S65" s="6">
        <v>65390.239999999998</v>
      </c>
      <c r="T65" s="7">
        <f t="shared" si="46"/>
        <v>-9.7871892986802878E-2</v>
      </c>
      <c r="U65" s="6">
        <f t="shared" si="47"/>
        <v>7094.1881999999969</v>
      </c>
      <c r="V65" s="6">
        <v>72484.428199999995</v>
      </c>
      <c r="W65" s="6">
        <v>69442.539999999994</v>
      </c>
      <c r="X65" s="7">
        <f t="shared" si="48"/>
        <v>-4.196609224269221E-2</v>
      </c>
      <c r="Y65" s="6">
        <f t="shared" si="49"/>
        <v>3041.8882000000012</v>
      </c>
      <c r="Z65" s="6">
        <v>81770.448869</v>
      </c>
      <c r="AA65" s="6">
        <v>83935.23</v>
      </c>
      <c r="AB65" s="7">
        <f t="shared" si="50"/>
        <v>2.6473880979521969E-2</v>
      </c>
      <c r="AC65" s="6">
        <f t="shared" si="51"/>
        <v>-2164.7811309999961</v>
      </c>
      <c r="AD65" s="6">
        <f t="shared" si="52"/>
        <v>371708.16166899999</v>
      </c>
      <c r="AE65" s="6">
        <f t="shared" si="53"/>
        <v>331759.68999999994</v>
      </c>
      <c r="AF65" s="7">
        <f t="shared" si="54"/>
        <v>-0.10747267826896278</v>
      </c>
      <c r="AG65" s="6">
        <f t="shared" si="55"/>
        <v>39948.47166900005</v>
      </c>
      <c r="AI65" s="5"/>
    </row>
    <row r="66" spans="1:35" ht="14" x14ac:dyDescent="0.2">
      <c r="A66" s="8"/>
      <c r="B66" s="1"/>
      <c r="C66" s="87">
        <v>1159</v>
      </c>
      <c r="D66" s="87" t="s">
        <v>14</v>
      </c>
      <c r="E66" s="87">
        <v>1150</v>
      </c>
      <c r="F66" s="87" t="s">
        <v>15</v>
      </c>
      <c r="G66" s="87" t="s">
        <v>1</v>
      </c>
      <c r="H66" s="87" t="s">
        <v>3</v>
      </c>
      <c r="I66" s="89" t="s">
        <v>17</v>
      </c>
      <c r="J66" s="6">
        <v>210.24000000000004</v>
      </c>
      <c r="K66" s="6">
        <v>192.72</v>
      </c>
      <c r="L66" s="7">
        <f t="shared" si="42"/>
        <v>-8.3333333333333481E-2</v>
      </c>
      <c r="M66" s="6">
        <f t="shared" si="43"/>
        <v>17.520000000000039</v>
      </c>
      <c r="N66" s="6">
        <v>210.24000000000004</v>
      </c>
      <c r="O66" s="6">
        <v>192.72</v>
      </c>
      <c r="P66" s="7">
        <f t="shared" si="44"/>
        <v>-8.3333333333333481E-2</v>
      </c>
      <c r="Q66" s="6">
        <f t="shared" si="45"/>
        <v>17.520000000000039</v>
      </c>
      <c r="R66" s="6">
        <v>210.24000000000004</v>
      </c>
      <c r="S66" s="6">
        <v>192.72</v>
      </c>
      <c r="T66" s="7">
        <f t="shared" si="46"/>
        <v>-8.3333333333333481E-2</v>
      </c>
      <c r="U66" s="6">
        <f t="shared" si="47"/>
        <v>17.520000000000039</v>
      </c>
      <c r="V66" s="6">
        <v>210.24000000000004</v>
      </c>
      <c r="W66" s="6">
        <v>192.72</v>
      </c>
      <c r="X66" s="7">
        <f t="shared" si="48"/>
        <v>-8.3333333333333481E-2</v>
      </c>
      <c r="Y66" s="6">
        <f t="shared" si="49"/>
        <v>17.520000000000039</v>
      </c>
      <c r="Z66" s="6">
        <v>250.53599999999997</v>
      </c>
      <c r="AA66" s="6">
        <v>192.72</v>
      </c>
      <c r="AB66" s="7">
        <f t="shared" si="50"/>
        <v>-0.23076923076923073</v>
      </c>
      <c r="AC66" s="6">
        <f t="shared" si="51"/>
        <v>57.815999999999974</v>
      </c>
      <c r="AD66" s="6">
        <f t="shared" si="52"/>
        <v>1091.4960000000001</v>
      </c>
      <c r="AE66" s="6">
        <f t="shared" si="53"/>
        <v>963.6</v>
      </c>
      <c r="AF66" s="7">
        <f t="shared" si="54"/>
        <v>-0.1171749598715891</v>
      </c>
      <c r="AG66" s="6">
        <f t="shared" si="55"/>
        <v>127.89600000000007</v>
      </c>
      <c r="AI66" s="5"/>
    </row>
    <row r="67" spans="1:35" ht="14" x14ac:dyDescent="0.2">
      <c r="A67" s="8"/>
      <c r="B67" s="1"/>
      <c r="C67" s="87">
        <v>1159</v>
      </c>
      <c r="D67" s="87" t="s">
        <v>14</v>
      </c>
      <c r="E67" s="87">
        <v>1150</v>
      </c>
      <c r="F67" s="87" t="s">
        <v>15</v>
      </c>
      <c r="G67" s="87" t="s">
        <v>1</v>
      </c>
      <c r="H67" s="87" t="s">
        <v>3</v>
      </c>
      <c r="I67" s="89" t="s">
        <v>12</v>
      </c>
      <c r="J67" s="6">
        <v>9975</v>
      </c>
      <c r="K67" s="6">
        <v>17030</v>
      </c>
      <c r="L67" s="7">
        <f t="shared" si="42"/>
        <v>0.70726817042606527</v>
      </c>
      <c r="M67" s="6">
        <f t="shared" si="43"/>
        <v>-7055</v>
      </c>
      <c r="N67" s="6">
        <v>9975</v>
      </c>
      <c r="O67" s="6">
        <v>7900</v>
      </c>
      <c r="P67" s="7">
        <f t="shared" si="44"/>
        <v>-0.20802005012531333</v>
      </c>
      <c r="Q67" s="6">
        <f t="shared" si="45"/>
        <v>2075</v>
      </c>
      <c r="R67" s="6">
        <v>9975</v>
      </c>
      <c r="S67" s="6">
        <v>9180</v>
      </c>
      <c r="T67" s="7">
        <f t="shared" si="46"/>
        <v>-7.9699248120300714E-2</v>
      </c>
      <c r="U67" s="6">
        <f t="shared" si="47"/>
        <v>795</v>
      </c>
      <c r="V67" s="6">
        <v>9975</v>
      </c>
      <c r="W67" s="6">
        <v>8740</v>
      </c>
      <c r="X67" s="7">
        <f t="shared" si="48"/>
        <v>-0.12380952380952381</v>
      </c>
      <c r="Y67" s="6">
        <f t="shared" si="49"/>
        <v>1235</v>
      </c>
      <c r="Z67" s="6">
        <v>11302.199999999999</v>
      </c>
      <c r="AA67" s="6">
        <v>9135</v>
      </c>
      <c r="AB67" s="7">
        <f t="shared" si="50"/>
        <v>-0.19175027870680039</v>
      </c>
      <c r="AC67" s="6">
        <f t="shared" si="51"/>
        <v>2167.1999999999989</v>
      </c>
      <c r="AD67" s="6">
        <f t="shared" si="52"/>
        <v>51202.2</v>
      </c>
      <c r="AE67" s="6">
        <f t="shared" si="53"/>
        <v>51985</v>
      </c>
      <c r="AF67" s="7">
        <f t="shared" si="54"/>
        <v>1.5288405576322939E-2</v>
      </c>
      <c r="AG67" s="6">
        <f t="shared" si="55"/>
        <v>-782.80000000000291</v>
      </c>
      <c r="AI67" s="5"/>
    </row>
    <row r="68" spans="1:35" ht="14" x14ac:dyDescent="0.2">
      <c r="A68" s="8"/>
      <c r="B68" s="1"/>
      <c r="C68" s="87">
        <v>1159</v>
      </c>
      <c r="D68" s="87" t="s">
        <v>14</v>
      </c>
      <c r="E68" s="87">
        <v>1150</v>
      </c>
      <c r="F68" s="87" t="s">
        <v>15</v>
      </c>
      <c r="G68" s="87" t="s">
        <v>1</v>
      </c>
      <c r="H68" s="87" t="s">
        <v>3</v>
      </c>
      <c r="I68" s="89" t="s">
        <v>16</v>
      </c>
      <c r="J68" s="6">
        <v>753.48</v>
      </c>
      <c r="K68" s="6">
        <v>904.67</v>
      </c>
      <c r="L68" s="7">
        <f t="shared" si="42"/>
        <v>0.20065562456866792</v>
      </c>
      <c r="M68" s="6">
        <f t="shared" si="43"/>
        <v>-151.18999999999994</v>
      </c>
      <c r="N68" s="6">
        <v>753.48</v>
      </c>
      <c r="O68" s="6">
        <v>354.21</v>
      </c>
      <c r="P68" s="7">
        <f t="shared" si="44"/>
        <v>-0.52990125816212774</v>
      </c>
      <c r="Q68" s="6">
        <f t="shared" si="45"/>
        <v>399.27000000000004</v>
      </c>
      <c r="R68" s="6">
        <v>753.48</v>
      </c>
      <c r="S68" s="6">
        <v>607.24</v>
      </c>
      <c r="T68" s="7">
        <f t="shared" si="46"/>
        <v>-0.19408610712958541</v>
      </c>
      <c r="U68" s="6">
        <f t="shared" si="47"/>
        <v>146.24</v>
      </c>
      <c r="V68" s="6">
        <v>753.48</v>
      </c>
      <c r="W68" s="6">
        <v>580.02</v>
      </c>
      <c r="X68" s="7">
        <f t="shared" si="48"/>
        <v>-0.23021181716833894</v>
      </c>
      <c r="Y68" s="6">
        <f t="shared" si="49"/>
        <v>173.46000000000004</v>
      </c>
      <c r="Z68" s="6">
        <v>1010.52</v>
      </c>
      <c r="AA68" s="6">
        <v>993.28</v>
      </c>
      <c r="AB68" s="7">
        <f t="shared" si="50"/>
        <v>-1.7060523294937235E-2</v>
      </c>
      <c r="AC68" s="6">
        <f t="shared" si="51"/>
        <v>17.240000000000009</v>
      </c>
      <c r="AD68" s="6">
        <f t="shared" si="52"/>
        <v>4024.44</v>
      </c>
      <c r="AE68" s="6">
        <f t="shared" si="53"/>
        <v>3439.42</v>
      </c>
      <c r="AF68" s="7">
        <f t="shared" si="54"/>
        <v>-0.14536680879824271</v>
      </c>
      <c r="AG68" s="6">
        <f t="shared" si="55"/>
        <v>585.02</v>
      </c>
      <c r="AI68" s="5"/>
    </row>
    <row r="69" spans="1:35" ht="14" x14ac:dyDescent="0.2">
      <c r="A69" s="8"/>
      <c r="B69" s="1"/>
      <c r="C69" s="87">
        <v>1159</v>
      </c>
      <c r="D69" s="87" t="s">
        <v>14</v>
      </c>
      <c r="E69" s="87">
        <v>1159</v>
      </c>
      <c r="F69" s="87" t="s">
        <v>14</v>
      </c>
      <c r="G69" s="87" t="s">
        <v>1</v>
      </c>
      <c r="H69" s="87" t="s">
        <v>3</v>
      </c>
      <c r="I69" s="89" t="s">
        <v>39</v>
      </c>
      <c r="J69" s="6">
        <v>1658.8415679999998</v>
      </c>
      <c r="K69" s="6">
        <v>0</v>
      </c>
      <c r="L69" s="7">
        <f t="shared" si="42"/>
        <v>-1</v>
      </c>
      <c r="M69" s="6">
        <f t="shared" si="43"/>
        <v>1658.8415679999998</v>
      </c>
      <c r="N69" s="6">
        <v>1658.8415679999998</v>
      </c>
      <c r="O69" s="6">
        <v>0</v>
      </c>
      <c r="P69" s="7">
        <f t="shared" si="44"/>
        <v>-1</v>
      </c>
      <c r="Q69" s="6">
        <f t="shared" si="45"/>
        <v>1658.8415679999998</v>
      </c>
      <c r="R69" s="6">
        <v>1658.8415679999998</v>
      </c>
      <c r="S69" s="6">
        <v>0</v>
      </c>
      <c r="T69" s="7">
        <f t="shared" si="46"/>
        <v>-1</v>
      </c>
      <c r="U69" s="6">
        <f t="shared" si="47"/>
        <v>1658.8415679999998</v>
      </c>
      <c r="V69" s="6">
        <v>1658.8415679999998</v>
      </c>
      <c r="W69" s="6">
        <v>0</v>
      </c>
      <c r="X69" s="7">
        <f t="shared" si="48"/>
        <v>-1</v>
      </c>
      <c r="Y69" s="6">
        <f t="shared" si="49"/>
        <v>1658.8415679999998</v>
      </c>
      <c r="Z69" s="6">
        <v>1689.9464319999997</v>
      </c>
      <c r="AA69" s="6">
        <v>0</v>
      </c>
      <c r="AB69" s="7">
        <f t="shared" si="50"/>
        <v>-1</v>
      </c>
      <c r="AC69" s="6">
        <f t="shared" si="51"/>
        <v>1689.9464319999997</v>
      </c>
      <c r="AD69" s="6">
        <f t="shared" si="52"/>
        <v>8325.3127039999999</v>
      </c>
      <c r="AE69" s="6">
        <f t="shared" si="53"/>
        <v>0</v>
      </c>
      <c r="AF69" s="7">
        <f t="shared" si="54"/>
        <v>-1</v>
      </c>
      <c r="AG69" s="6">
        <f t="shared" si="55"/>
        <v>8325.3127039999999</v>
      </c>
      <c r="AI69" s="5"/>
    </row>
    <row r="70" spans="1:35" ht="14" x14ac:dyDescent="0.2">
      <c r="A70" s="8"/>
      <c r="B70" s="1"/>
      <c r="C70" s="87">
        <v>1159</v>
      </c>
      <c r="D70" s="87" t="s">
        <v>14</v>
      </c>
      <c r="E70" s="87">
        <v>1159</v>
      </c>
      <c r="F70" s="87" t="s">
        <v>14</v>
      </c>
      <c r="G70" s="87" t="s">
        <v>1</v>
      </c>
      <c r="H70" s="87" t="s">
        <v>3</v>
      </c>
      <c r="I70" s="89" t="s">
        <v>32</v>
      </c>
      <c r="J70" s="6">
        <v>4970.557648</v>
      </c>
      <c r="K70" s="6">
        <v>4972.55</v>
      </c>
      <c r="L70" s="7">
        <f t="shared" si="42"/>
        <v>4.00830679592179E-4</v>
      </c>
      <c r="M70" s="6">
        <f t="shared" si="43"/>
        <v>-1.99235200000021</v>
      </c>
      <c r="N70" s="6">
        <v>4970.557648</v>
      </c>
      <c r="O70" s="6">
        <v>4972.54</v>
      </c>
      <c r="P70" s="7">
        <f t="shared" si="44"/>
        <v>3.988188328925002E-4</v>
      </c>
      <c r="Q70" s="6">
        <f t="shared" si="45"/>
        <v>-1.9823519999999917</v>
      </c>
      <c r="R70" s="6">
        <v>4970.557648</v>
      </c>
      <c r="S70" s="6">
        <v>30575.43</v>
      </c>
      <c r="T70" s="7">
        <f t="shared" si="46"/>
        <v>5.1513077938654659</v>
      </c>
      <c r="U70" s="6">
        <f t="shared" si="47"/>
        <v>-25604.872351999999</v>
      </c>
      <c r="V70" s="6">
        <v>4970.557648</v>
      </c>
      <c r="W70" s="6">
        <v>6739.53</v>
      </c>
      <c r="X70" s="7">
        <f t="shared" si="48"/>
        <v>0.35589011883038513</v>
      </c>
      <c r="Y70" s="6">
        <f t="shared" si="49"/>
        <v>-1768.9723519999998</v>
      </c>
      <c r="Z70" s="6">
        <v>5063.7603519999993</v>
      </c>
      <c r="AA70" s="6">
        <v>5414.28</v>
      </c>
      <c r="AB70" s="7">
        <f t="shared" si="50"/>
        <v>6.922121578315954E-2</v>
      </c>
      <c r="AC70" s="6">
        <f t="shared" si="51"/>
        <v>-350.51964800000042</v>
      </c>
      <c r="AD70" s="6">
        <f t="shared" si="52"/>
        <v>24945.990943999997</v>
      </c>
      <c r="AE70" s="6">
        <f t="shared" si="53"/>
        <v>52674.33</v>
      </c>
      <c r="AF70" s="7">
        <f t="shared" si="54"/>
        <v>1.1115348802236786</v>
      </c>
      <c r="AG70" s="6">
        <f t="shared" si="55"/>
        <v>-27728.339056000004</v>
      </c>
      <c r="AI70" s="5"/>
    </row>
    <row r="71" spans="1:35" ht="14" x14ac:dyDescent="0.2">
      <c r="A71" s="8"/>
      <c r="B71" s="1"/>
      <c r="C71" s="87">
        <v>1159</v>
      </c>
      <c r="D71" s="87" t="s">
        <v>14</v>
      </c>
      <c r="E71" s="87">
        <v>1159</v>
      </c>
      <c r="F71" s="87" t="s">
        <v>14</v>
      </c>
      <c r="G71" s="87" t="s">
        <v>1</v>
      </c>
      <c r="H71" s="87" t="s">
        <v>3</v>
      </c>
      <c r="I71" s="89" t="s">
        <v>42</v>
      </c>
      <c r="J71" s="6">
        <v>0</v>
      </c>
      <c r="K71" s="6">
        <v>0</v>
      </c>
      <c r="L71" s="7">
        <f t="shared" si="42"/>
        <v>-1</v>
      </c>
      <c r="M71" s="6">
        <f t="shared" si="43"/>
        <v>0</v>
      </c>
      <c r="N71" s="6">
        <v>0</v>
      </c>
      <c r="O71" s="6">
        <v>0</v>
      </c>
      <c r="P71" s="7">
        <f t="shared" si="44"/>
        <v>-1</v>
      </c>
      <c r="Q71" s="6">
        <f t="shared" si="45"/>
        <v>0</v>
      </c>
      <c r="R71" s="6">
        <v>0</v>
      </c>
      <c r="S71" s="6">
        <v>0</v>
      </c>
      <c r="T71" s="7">
        <f t="shared" si="46"/>
        <v>-1</v>
      </c>
      <c r="U71" s="6">
        <f t="shared" si="47"/>
        <v>0</v>
      </c>
      <c r="V71" s="6">
        <v>0</v>
      </c>
      <c r="W71" s="6">
        <v>0</v>
      </c>
      <c r="X71" s="7">
        <f t="shared" si="48"/>
        <v>-1</v>
      </c>
      <c r="Y71" s="6">
        <f t="shared" si="49"/>
        <v>0</v>
      </c>
      <c r="Z71" s="6">
        <v>0</v>
      </c>
      <c r="AA71" s="6">
        <v>0</v>
      </c>
      <c r="AB71" s="7">
        <f t="shared" si="50"/>
        <v>-1</v>
      </c>
      <c r="AC71" s="6">
        <f t="shared" si="51"/>
        <v>0</v>
      </c>
      <c r="AD71" s="6">
        <f t="shared" si="52"/>
        <v>0</v>
      </c>
      <c r="AE71" s="6">
        <f t="shared" si="53"/>
        <v>0</v>
      </c>
      <c r="AF71" s="7">
        <f t="shared" si="54"/>
        <v>-1</v>
      </c>
      <c r="AG71" s="6">
        <f t="shared" si="55"/>
        <v>0</v>
      </c>
      <c r="AI71" s="5"/>
    </row>
    <row r="72" spans="1:35" ht="14" x14ac:dyDescent="0.2">
      <c r="A72" s="8"/>
      <c r="B72" s="1"/>
      <c r="C72" s="87">
        <v>1159</v>
      </c>
      <c r="D72" s="87" t="s">
        <v>14</v>
      </c>
      <c r="E72" s="87">
        <v>1159</v>
      </c>
      <c r="F72" s="87" t="s">
        <v>14</v>
      </c>
      <c r="G72" s="87" t="s">
        <v>1</v>
      </c>
      <c r="H72" s="87" t="s">
        <v>3</v>
      </c>
      <c r="I72" s="89" t="s">
        <v>31</v>
      </c>
      <c r="J72" s="6">
        <v>2612.88</v>
      </c>
      <c r="K72" s="6">
        <v>4028.94</v>
      </c>
      <c r="L72" s="7">
        <f t="shared" si="42"/>
        <v>0.5419537062551667</v>
      </c>
      <c r="M72" s="6">
        <f t="shared" si="43"/>
        <v>-1416.06</v>
      </c>
      <c r="N72" s="6">
        <v>2612.88</v>
      </c>
      <c r="O72" s="6">
        <v>4028.94</v>
      </c>
      <c r="P72" s="7">
        <f t="shared" si="44"/>
        <v>0.5419537062551667</v>
      </c>
      <c r="Q72" s="6">
        <f t="shared" si="45"/>
        <v>-1416.06</v>
      </c>
      <c r="R72" s="6">
        <v>2612.88</v>
      </c>
      <c r="S72" s="6">
        <v>8595.2199999999993</v>
      </c>
      <c r="T72" s="7">
        <f t="shared" si="46"/>
        <v>2.2895578824898193</v>
      </c>
      <c r="U72" s="6">
        <f t="shared" si="47"/>
        <v>-5982.3399999999992</v>
      </c>
      <c r="V72" s="6">
        <v>2612.88</v>
      </c>
      <c r="W72" s="6">
        <v>3923.2</v>
      </c>
      <c r="X72" s="7">
        <f t="shared" si="48"/>
        <v>0.50148495147117345</v>
      </c>
      <c r="Y72" s="6">
        <f t="shared" si="49"/>
        <v>-1310.3199999999997</v>
      </c>
      <c r="Z72" s="6">
        <v>2612.88</v>
      </c>
      <c r="AA72" s="6">
        <v>3923.2</v>
      </c>
      <c r="AB72" s="7">
        <f t="shared" si="50"/>
        <v>0.50148495147117345</v>
      </c>
      <c r="AC72" s="6">
        <f t="shared" si="51"/>
        <v>-1310.3199999999997</v>
      </c>
      <c r="AD72" s="6">
        <f t="shared" si="52"/>
        <v>13064.400000000001</v>
      </c>
      <c r="AE72" s="6">
        <f t="shared" si="53"/>
        <v>24499.5</v>
      </c>
      <c r="AF72" s="7">
        <f t="shared" si="54"/>
        <v>0.87528703958849974</v>
      </c>
      <c r="AG72" s="6">
        <f t="shared" si="55"/>
        <v>-11435.099999999999</v>
      </c>
      <c r="AI72" s="5"/>
    </row>
    <row r="73" spans="1:35" ht="14" x14ac:dyDescent="0.2">
      <c r="A73" s="8"/>
      <c r="B73" s="1"/>
      <c r="C73" s="87">
        <v>1159</v>
      </c>
      <c r="D73" s="87" t="s">
        <v>14</v>
      </c>
      <c r="E73" s="87">
        <v>1159</v>
      </c>
      <c r="F73" s="87" t="s">
        <v>14</v>
      </c>
      <c r="G73" s="87" t="s">
        <v>1</v>
      </c>
      <c r="H73" s="87" t="s">
        <v>3</v>
      </c>
      <c r="I73" s="89" t="s">
        <v>30</v>
      </c>
      <c r="J73" s="6">
        <v>86.58</v>
      </c>
      <c r="K73" s="6">
        <v>173.16</v>
      </c>
      <c r="L73" s="7">
        <f t="shared" si="42"/>
        <v>1</v>
      </c>
      <c r="M73" s="6">
        <f t="shared" si="43"/>
        <v>-86.58</v>
      </c>
      <c r="N73" s="6">
        <v>86.58</v>
      </c>
      <c r="O73" s="6">
        <v>173.16</v>
      </c>
      <c r="P73" s="7">
        <f t="shared" si="44"/>
        <v>1</v>
      </c>
      <c r="Q73" s="6">
        <f t="shared" si="45"/>
        <v>-86.58</v>
      </c>
      <c r="R73" s="6">
        <v>86.58</v>
      </c>
      <c r="S73" s="6">
        <v>86.58</v>
      </c>
      <c r="T73" s="7">
        <f t="shared" si="46"/>
        <v>0</v>
      </c>
      <c r="U73" s="6">
        <f t="shared" si="47"/>
        <v>0</v>
      </c>
      <c r="V73" s="6">
        <v>86.58</v>
      </c>
      <c r="W73" s="6">
        <v>86.58</v>
      </c>
      <c r="X73" s="7">
        <f t="shared" si="48"/>
        <v>0</v>
      </c>
      <c r="Y73" s="6">
        <f t="shared" si="49"/>
        <v>0</v>
      </c>
      <c r="Z73" s="6">
        <v>86.58</v>
      </c>
      <c r="AA73" s="6">
        <v>86.58</v>
      </c>
      <c r="AB73" s="7">
        <f t="shared" si="50"/>
        <v>0</v>
      </c>
      <c r="AC73" s="6">
        <f t="shared" si="51"/>
        <v>0</v>
      </c>
      <c r="AD73" s="6">
        <f t="shared" si="52"/>
        <v>432.9</v>
      </c>
      <c r="AE73" s="6">
        <f t="shared" si="53"/>
        <v>606.06000000000006</v>
      </c>
      <c r="AF73" s="7">
        <f t="shared" si="54"/>
        <v>0.40000000000000013</v>
      </c>
      <c r="AG73" s="6">
        <f t="shared" si="55"/>
        <v>-173.16000000000008</v>
      </c>
      <c r="AI73" s="5"/>
    </row>
    <row r="74" spans="1:35" ht="14" x14ac:dyDescent="0.2">
      <c r="A74" s="8"/>
      <c r="B74" s="1"/>
      <c r="C74" s="87">
        <v>1159</v>
      </c>
      <c r="D74" s="87" t="s">
        <v>14</v>
      </c>
      <c r="E74" s="87">
        <v>1159</v>
      </c>
      <c r="F74" s="87" t="s">
        <v>14</v>
      </c>
      <c r="G74" s="87" t="s">
        <v>1</v>
      </c>
      <c r="H74" s="87" t="s">
        <v>3</v>
      </c>
      <c r="I74" s="89" t="s">
        <v>29</v>
      </c>
      <c r="J74" s="6">
        <v>0</v>
      </c>
      <c r="K74" s="6">
        <v>0</v>
      </c>
      <c r="L74" s="7">
        <f t="shared" si="42"/>
        <v>-1</v>
      </c>
      <c r="M74" s="6">
        <f t="shared" si="43"/>
        <v>0</v>
      </c>
      <c r="N74" s="6">
        <v>0</v>
      </c>
      <c r="O74" s="6">
        <v>0</v>
      </c>
      <c r="P74" s="7">
        <f t="shared" si="44"/>
        <v>-1</v>
      </c>
      <c r="Q74" s="6">
        <f t="shared" si="45"/>
        <v>0</v>
      </c>
      <c r="R74" s="6">
        <v>0</v>
      </c>
      <c r="S74" s="6">
        <v>0</v>
      </c>
      <c r="T74" s="7">
        <f t="shared" si="46"/>
        <v>-1</v>
      </c>
      <c r="U74" s="6">
        <f t="shared" si="47"/>
        <v>0</v>
      </c>
      <c r="V74" s="6">
        <v>0</v>
      </c>
      <c r="W74" s="6">
        <v>0</v>
      </c>
      <c r="X74" s="7">
        <f t="shared" si="48"/>
        <v>-1</v>
      </c>
      <c r="Y74" s="6">
        <f t="shared" si="49"/>
        <v>0</v>
      </c>
      <c r="Z74" s="6">
        <v>0</v>
      </c>
      <c r="AA74" s="6">
        <v>0</v>
      </c>
      <c r="AB74" s="7">
        <f t="shared" si="50"/>
        <v>-1</v>
      </c>
      <c r="AC74" s="6">
        <f t="shared" si="51"/>
        <v>0</v>
      </c>
      <c r="AD74" s="6">
        <f t="shared" si="52"/>
        <v>0</v>
      </c>
      <c r="AE74" s="6">
        <f t="shared" si="53"/>
        <v>0</v>
      </c>
      <c r="AF74" s="7">
        <f t="shared" si="54"/>
        <v>-1</v>
      </c>
      <c r="AG74" s="6">
        <f t="shared" si="55"/>
        <v>0</v>
      </c>
      <c r="AI74" s="5"/>
    </row>
    <row r="75" spans="1:35" ht="14" x14ac:dyDescent="0.2">
      <c r="A75" s="8"/>
      <c r="B75" s="1"/>
      <c r="C75" s="87">
        <v>1159</v>
      </c>
      <c r="D75" s="87" t="s">
        <v>14</v>
      </c>
      <c r="E75" s="87">
        <v>1159</v>
      </c>
      <c r="F75" s="87" t="s">
        <v>14</v>
      </c>
      <c r="G75" s="87" t="s">
        <v>1</v>
      </c>
      <c r="H75" s="87" t="s">
        <v>3</v>
      </c>
      <c r="I75" s="89" t="s">
        <v>28</v>
      </c>
      <c r="J75" s="6">
        <v>0</v>
      </c>
      <c r="K75" s="6">
        <v>0</v>
      </c>
      <c r="L75" s="7">
        <f t="shared" si="42"/>
        <v>-1</v>
      </c>
      <c r="M75" s="6">
        <f t="shared" si="43"/>
        <v>0</v>
      </c>
      <c r="N75" s="6">
        <v>0</v>
      </c>
      <c r="O75" s="6">
        <v>0</v>
      </c>
      <c r="P75" s="7">
        <f t="shared" si="44"/>
        <v>-1</v>
      </c>
      <c r="Q75" s="6">
        <f t="shared" si="45"/>
        <v>0</v>
      </c>
      <c r="R75" s="6">
        <v>0</v>
      </c>
      <c r="S75" s="6">
        <v>0</v>
      </c>
      <c r="T75" s="7">
        <f t="shared" si="46"/>
        <v>-1</v>
      </c>
      <c r="U75" s="6">
        <f t="shared" si="47"/>
        <v>0</v>
      </c>
      <c r="V75" s="6">
        <v>36495.199999999997</v>
      </c>
      <c r="W75" s="6">
        <v>38703.93</v>
      </c>
      <c r="X75" s="7">
        <f t="shared" si="48"/>
        <v>6.0521109625375491E-2</v>
      </c>
      <c r="Y75" s="6">
        <f t="shared" si="49"/>
        <v>-2208.7300000000032</v>
      </c>
      <c r="Z75" s="6">
        <v>36495.199999999997</v>
      </c>
      <c r="AA75" s="6">
        <v>38703.93</v>
      </c>
      <c r="AB75" s="7">
        <f t="shared" si="50"/>
        <v>6.0521109625375491E-2</v>
      </c>
      <c r="AC75" s="6">
        <f t="shared" si="51"/>
        <v>-2208.7300000000032</v>
      </c>
      <c r="AD75" s="6">
        <f t="shared" si="52"/>
        <v>72990.399999999994</v>
      </c>
      <c r="AE75" s="6">
        <f t="shared" si="53"/>
        <v>77407.86</v>
      </c>
      <c r="AF75" s="7">
        <f t="shared" si="54"/>
        <v>6.0521109625375491E-2</v>
      </c>
      <c r="AG75" s="6">
        <f t="shared" si="55"/>
        <v>-4417.4600000000064</v>
      </c>
      <c r="AI75" s="5"/>
    </row>
    <row r="76" spans="1:35" ht="14" x14ac:dyDescent="0.2">
      <c r="A76" s="8"/>
      <c r="B76" s="1"/>
      <c r="C76" s="87">
        <v>1159</v>
      </c>
      <c r="D76" s="87" t="s">
        <v>14</v>
      </c>
      <c r="E76" s="87">
        <v>1159</v>
      </c>
      <c r="F76" s="87" t="s">
        <v>14</v>
      </c>
      <c r="G76" s="87" t="s">
        <v>1</v>
      </c>
      <c r="H76" s="87" t="s">
        <v>3</v>
      </c>
      <c r="I76" s="89" t="s">
        <v>27</v>
      </c>
      <c r="J76" s="6">
        <v>4773.6448</v>
      </c>
      <c r="K76" s="6">
        <v>4773.63</v>
      </c>
      <c r="L76" s="7">
        <f t="shared" si="42"/>
        <v>-3.100356356644518E-6</v>
      </c>
      <c r="M76" s="6">
        <f t="shared" si="43"/>
        <v>1.4799999999922875E-2</v>
      </c>
      <c r="N76" s="6">
        <v>4773.6448</v>
      </c>
      <c r="O76" s="6">
        <v>4985.3900000000003</v>
      </c>
      <c r="P76" s="7">
        <f t="shared" si="44"/>
        <v>4.4357133568044382E-2</v>
      </c>
      <c r="Q76" s="6">
        <f t="shared" si="45"/>
        <v>-211.7452000000003</v>
      </c>
      <c r="R76" s="6">
        <v>4773.6448</v>
      </c>
      <c r="S76" s="6">
        <v>5238.08</v>
      </c>
      <c r="T76" s="7">
        <f t="shared" si="46"/>
        <v>9.7291528686843209E-2</v>
      </c>
      <c r="U76" s="6">
        <f t="shared" si="47"/>
        <v>-464.4351999999999</v>
      </c>
      <c r="V76" s="6">
        <v>4773.6448</v>
      </c>
      <c r="W76" s="6">
        <v>5409.47</v>
      </c>
      <c r="X76" s="7">
        <f t="shared" si="48"/>
        <v>0.13319491219790813</v>
      </c>
      <c r="Y76" s="6">
        <f t="shared" si="49"/>
        <v>-635.82520000000022</v>
      </c>
      <c r="Z76" s="6">
        <v>4863.1552000000001</v>
      </c>
      <c r="AA76" s="6">
        <v>5605.95</v>
      </c>
      <c r="AB76" s="7">
        <f t="shared" si="50"/>
        <v>0.15273927511094021</v>
      </c>
      <c r="AC76" s="6">
        <f t="shared" si="51"/>
        <v>-742.79479999999967</v>
      </c>
      <c r="AD76" s="6">
        <f t="shared" si="52"/>
        <v>23957.734400000001</v>
      </c>
      <c r="AE76" s="6">
        <f t="shared" si="53"/>
        <v>26012.52</v>
      </c>
      <c r="AF76" s="7">
        <f t="shared" si="54"/>
        <v>8.5767108262123415E-2</v>
      </c>
      <c r="AG76" s="6">
        <f t="shared" si="55"/>
        <v>-2054.7855999999992</v>
      </c>
      <c r="AI76" s="5"/>
    </row>
    <row r="77" spans="1:35" ht="14" x14ac:dyDescent="0.2">
      <c r="A77" s="8"/>
      <c r="B77" s="1"/>
      <c r="C77" s="87">
        <v>1159</v>
      </c>
      <c r="D77" s="87" t="s">
        <v>14</v>
      </c>
      <c r="E77" s="87">
        <v>1159</v>
      </c>
      <c r="F77" s="87" t="s">
        <v>14</v>
      </c>
      <c r="G77" s="87" t="s">
        <v>1</v>
      </c>
      <c r="H77" s="87" t="s">
        <v>3</v>
      </c>
      <c r="I77" s="89" t="s">
        <v>26</v>
      </c>
      <c r="J77" s="6">
        <v>132.70732544000001</v>
      </c>
      <c r="K77" s="6">
        <v>0</v>
      </c>
      <c r="L77" s="7">
        <f t="shared" si="42"/>
        <v>-1</v>
      </c>
      <c r="M77" s="6">
        <f t="shared" si="43"/>
        <v>132.70732544000001</v>
      </c>
      <c r="N77" s="6">
        <v>132.70732544000001</v>
      </c>
      <c r="O77" s="6">
        <v>0</v>
      </c>
      <c r="P77" s="7">
        <f t="shared" si="44"/>
        <v>-1</v>
      </c>
      <c r="Q77" s="6">
        <f t="shared" si="45"/>
        <v>132.70732544000001</v>
      </c>
      <c r="R77" s="6">
        <v>132.70732544000001</v>
      </c>
      <c r="S77" s="6">
        <v>0</v>
      </c>
      <c r="T77" s="7">
        <f t="shared" si="46"/>
        <v>-1</v>
      </c>
      <c r="U77" s="6">
        <f t="shared" si="47"/>
        <v>132.70732544000001</v>
      </c>
      <c r="V77" s="6">
        <v>132.70732544000001</v>
      </c>
      <c r="W77" s="6">
        <v>0</v>
      </c>
      <c r="X77" s="7">
        <f t="shared" si="48"/>
        <v>-1</v>
      </c>
      <c r="Y77" s="6">
        <f t="shared" si="49"/>
        <v>132.70732544000001</v>
      </c>
      <c r="Z77" s="6">
        <v>135.19571456</v>
      </c>
      <c r="AA77" s="6">
        <v>0</v>
      </c>
      <c r="AB77" s="7">
        <f t="shared" si="50"/>
        <v>-1</v>
      </c>
      <c r="AC77" s="6">
        <f t="shared" si="51"/>
        <v>135.19571456</v>
      </c>
      <c r="AD77" s="6">
        <f t="shared" si="52"/>
        <v>666.02501632000008</v>
      </c>
      <c r="AE77" s="6">
        <f t="shared" si="53"/>
        <v>0</v>
      </c>
      <c r="AF77" s="7">
        <f t="shared" si="54"/>
        <v>-1</v>
      </c>
      <c r="AG77" s="6">
        <f t="shared" si="55"/>
        <v>666.02501632000008</v>
      </c>
      <c r="AI77" s="5"/>
    </row>
    <row r="78" spans="1:35" ht="14" x14ac:dyDescent="0.2">
      <c r="A78" s="8"/>
      <c r="B78" s="1"/>
      <c r="C78" s="87">
        <v>1159</v>
      </c>
      <c r="D78" s="87" t="s">
        <v>14</v>
      </c>
      <c r="E78" s="87">
        <v>1159</v>
      </c>
      <c r="F78" s="87" t="s">
        <v>14</v>
      </c>
      <c r="G78" s="87" t="s">
        <v>1</v>
      </c>
      <c r="H78" s="87" t="s">
        <v>3</v>
      </c>
      <c r="I78" s="89" t="s">
        <v>25</v>
      </c>
      <c r="J78" s="6">
        <v>397.64461183999998</v>
      </c>
      <c r="K78" s="6">
        <v>416.56</v>
      </c>
      <c r="L78" s="7">
        <f t="shared" si="42"/>
        <v>4.7568576555014452E-2</v>
      </c>
      <c r="M78" s="6">
        <f t="shared" si="43"/>
        <v>-18.91538816000002</v>
      </c>
      <c r="N78" s="6">
        <v>397.64461183999998</v>
      </c>
      <c r="O78" s="6">
        <v>397.81</v>
      </c>
      <c r="P78" s="7">
        <f t="shared" si="44"/>
        <v>4.159195298403251E-4</v>
      </c>
      <c r="Q78" s="6">
        <f t="shared" si="45"/>
        <v>-0.16538816000002043</v>
      </c>
      <c r="R78" s="6">
        <v>397.64461183999998</v>
      </c>
      <c r="S78" s="6">
        <v>397.8</v>
      </c>
      <c r="T78" s="7">
        <f t="shared" si="46"/>
        <v>3.9077144609356296E-4</v>
      </c>
      <c r="U78" s="6">
        <f t="shared" si="47"/>
        <v>-0.15538816000002953</v>
      </c>
      <c r="V78" s="6">
        <v>397.64461183999998</v>
      </c>
      <c r="W78" s="6">
        <v>539.16</v>
      </c>
      <c r="X78" s="7">
        <f t="shared" si="48"/>
        <v>0.35588408329028587</v>
      </c>
      <c r="Y78" s="6">
        <f t="shared" si="49"/>
        <v>-141.51538815999999</v>
      </c>
      <c r="Z78" s="6">
        <v>405.10082815999999</v>
      </c>
      <c r="AA78" s="6">
        <v>433.15</v>
      </c>
      <c r="AB78" s="7">
        <f t="shared" si="50"/>
        <v>6.9239976544608783E-2</v>
      </c>
      <c r="AC78" s="6">
        <f t="shared" si="51"/>
        <v>-28.049171839999985</v>
      </c>
      <c r="AD78" s="6">
        <f t="shared" si="52"/>
        <v>1995.6792755199999</v>
      </c>
      <c r="AE78" s="6">
        <f t="shared" si="53"/>
        <v>2184.48</v>
      </c>
      <c r="AF78" s="7">
        <f t="shared" si="54"/>
        <v>9.4604742753970683E-2</v>
      </c>
      <c r="AG78" s="6">
        <f t="shared" si="55"/>
        <v>-188.8007244800001</v>
      </c>
      <c r="AI78" s="5"/>
    </row>
    <row r="79" spans="1:35" ht="14" x14ac:dyDescent="0.2">
      <c r="A79" s="8"/>
      <c r="B79" s="1"/>
      <c r="C79" s="87">
        <v>1159</v>
      </c>
      <c r="D79" s="87" t="s">
        <v>14</v>
      </c>
      <c r="E79" s="87">
        <v>1159</v>
      </c>
      <c r="F79" s="87" t="s">
        <v>14</v>
      </c>
      <c r="G79" s="87" t="s">
        <v>1</v>
      </c>
      <c r="H79" s="87" t="s">
        <v>3</v>
      </c>
      <c r="I79" s="89" t="s">
        <v>24</v>
      </c>
      <c r="J79" s="6">
        <v>5251.0092800000011</v>
      </c>
      <c r="K79" s="6">
        <v>11308.52</v>
      </c>
      <c r="L79" s="7">
        <f t="shared" si="42"/>
        <v>1.153589795217425</v>
      </c>
      <c r="M79" s="6">
        <f t="shared" si="43"/>
        <v>-6057.5107199999993</v>
      </c>
      <c r="N79" s="6">
        <v>5251.0092800000011</v>
      </c>
      <c r="O79" s="6">
        <v>5448.47</v>
      </c>
      <c r="P79" s="7">
        <f t="shared" si="44"/>
        <v>3.7604336513379577E-2</v>
      </c>
      <c r="Q79" s="6">
        <f t="shared" si="45"/>
        <v>-197.46071999999913</v>
      </c>
      <c r="R79" s="6">
        <v>5251.0092800000011</v>
      </c>
      <c r="S79" s="6">
        <v>12146.89</v>
      </c>
      <c r="T79" s="7">
        <f t="shared" si="46"/>
        <v>1.3132486256051705</v>
      </c>
      <c r="U79" s="6">
        <f t="shared" si="47"/>
        <v>-6895.8807199999983</v>
      </c>
      <c r="V79" s="6">
        <v>5251.0092800000011</v>
      </c>
      <c r="W79" s="6">
        <v>12544.3</v>
      </c>
      <c r="X79" s="7">
        <f t="shared" si="48"/>
        <v>1.388931218952254</v>
      </c>
      <c r="Y79" s="6">
        <f t="shared" si="49"/>
        <v>-7293.2907199999981</v>
      </c>
      <c r="Z79" s="6">
        <v>5349.4707200000003</v>
      </c>
      <c r="AA79" s="6">
        <v>10958.71</v>
      </c>
      <c r="AB79" s="7">
        <f t="shared" si="50"/>
        <v>1.048559675077537</v>
      </c>
      <c r="AC79" s="6">
        <f t="shared" si="51"/>
        <v>-5609.2392799999989</v>
      </c>
      <c r="AD79" s="6">
        <f t="shared" si="52"/>
        <v>26353.507840000006</v>
      </c>
      <c r="AE79" s="6">
        <f t="shared" si="53"/>
        <v>52406.89</v>
      </c>
      <c r="AF79" s="7">
        <f t="shared" si="54"/>
        <v>0.98861154720570155</v>
      </c>
      <c r="AG79" s="6">
        <f t="shared" si="55"/>
        <v>-26053.382159999994</v>
      </c>
      <c r="AI79" s="5"/>
    </row>
    <row r="80" spans="1:35" ht="14" x14ac:dyDescent="0.2">
      <c r="A80" s="8"/>
      <c r="B80" s="1"/>
      <c r="C80" s="87">
        <v>1159</v>
      </c>
      <c r="D80" s="87" t="s">
        <v>14</v>
      </c>
      <c r="E80" s="87">
        <v>1159</v>
      </c>
      <c r="F80" s="87" t="s">
        <v>14</v>
      </c>
      <c r="G80" s="87" t="s">
        <v>1</v>
      </c>
      <c r="H80" s="87" t="s">
        <v>3</v>
      </c>
      <c r="I80" s="89" t="s">
        <v>23</v>
      </c>
      <c r="J80" s="6">
        <v>145.97805798400003</v>
      </c>
      <c r="K80" s="6">
        <v>0</v>
      </c>
      <c r="L80" s="7">
        <f t="shared" si="42"/>
        <v>-1</v>
      </c>
      <c r="M80" s="6">
        <f t="shared" si="43"/>
        <v>145.97805798400003</v>
      </c>
      <c r="N80" s="6">
        <v>145.97805798400003</v>
      </c>
      <c r="O80" s="6">
        <v>0</v>
      </c>
      <c r="P80" s="7">
        <f t="shared" si="44"/>
        <v>-1</v>
      </c>
      <c r="Q80" s="6">
        <f t="shared" si="45"/>
        <v>145.97805798400003</v>
      </c>
      <c r="R80" s="6">
        <v>145.97805798400003</v>
      </c>
      <c r="S80" s="6">
        <v>0</v>
      </c>
      <c r="T80" s="7">
        <f t="shared" si="46"/>
        <v>-1</v>
      </c>
      <c r="U80" s="6">
        <f t="shared" si="47"/>
        <v>145.97805798400003</v>
      </c>
      <c r="V80" s="6">
        <v>145.97805798400003</v>
      </c>
      <c r="W80" s="6">
        <v>0</v>
      </c>
      <c r="X80" s="7">
        <f t="shared" si="48"/>
        <v>-1</v>
      </c>
      <c r="Y80" s="6">
        <f t="shared" si="49"/>
        <v>145.97805798400003</v>
      </c>
      <c r="Z80" s="6">
        <v>148.71528601599999</v>
      </c>
      <c r="AA80" s="6">
        <v>0</v>
      </c>
      <c r="AB80" s="7">
        <f t="shared" si="50"/>
        <v>-1</v>
      </c>
      <c r="AC80" s="6">
        <f t="shared" si="51"/>
        <v>148.71528601599999</v>
      </c>
      <c r="AD80" s="6">
        <f t="shared" si="52"/>
        <v>732.62751795200006</v>
      </c>
      <c r="AE80" s="6">
        <f t="shared" si="53"/>
        <v>0</v>
      </c>
      <c r="AF80" s="7">
        <f t="shared" si="54"/>
        <v>-1</v>
      </c>
      <c r="AG80" s="6">
        <f t="shared" si="55"/>
        <v>732.62751795200006</v>
      </c>
      <c r="AI80" s="5"/>
    </row>
    <row r="81" spans="1:35" ht="14" x14ac:dyDescent="0.2">
      <c r="A81" s="8"/>
      <c r="B81" s="1"/>
      <c r="C81" s="87">
        <v>1159</v>
      </c>
      <c r="D81" s="87" t="s">
        <v>14</v>
      </c>
      <c r="E81" s="87">
        <v>1159</v>
      </c>
      <c r="F81" s="87" t="s">
        <v>14</v>
      </c>
      <c r="G81" s="87" t="s">
        <v>1</v>
      </c>
      <c r="H81" s="87" t="s">
        <v>3</v>
      </c>
      <c r="I81" s="89" t="s">
        <v>22</v>
      </c>
      <c r="J81" s="6">
        <v>165.8841568</v>
      </c>
      <c r="K81" s="6">
        <v>0</v>
      </c>
      <c r="L81" s="7">
        <f t="shared" si="42"/>
        <v>-1</v>
      </c>
      <c r="M81" s="6">
        <f t="shared" si="43"/>
        <v>165.8841568</v>
      </c>
      <c r="N81" s="6">
        <v>165.8841568</v>
      </c>
      <c r="O81" s="6">
        <v>0</v>
      </c>
      <c r="P81" s="7">
        <f t="shared" si="44"/>
        <v>-1</v>
      </c>
      <c r="Q81" s="6">
        <f t="shared" si="45"/>
        <v>165.8841568</v>
      </c>
      <c r="R81" s="6">
        <v>165.8841568</v>
      </c>
      <c r="S81" s="6">
        <v>0</v>
      </c>
      <c r="T81" s="7">
        <f t="shared" si="46"/>
        <v>-1</v>
      </c>
      <c r="U81" s="6">
        <f t="shared" si="47"/>
        <v>165.8841568</v>
      </c>
      <c r="V81" s="6">
        <v>165.8841568</v>
      </c>
      <c r="W81" s="6">
        <v>0</v>
      </c>
      <c r="X81" s="7">
        <f t="shared" si="48"/>
        <v>-1</v>
      </c>
      <c r="Y81" s="6">
        <f t="shared" si="49"/>
        <v>165.8841568</v>
      </c>
      <c r="Z81" s="6">
        <v>168.99464319999998</v>
      </c>
      <c r="AA81" s="6">
        <v>0</v>
      </c>
      <c r="AB81" s="7">
        <f t="shared" si="50"/>
        <v>-1</v>
      </c>
      <c r="AC81" s="6">
        <f t="shared" si="51"/>
        <v>168.99464319999998</v>
      </c>
      <c r="AD81" s="6">
        <f t="shared" si="52"/>
        <v>832.53127040000004</v>
      </c>
      <c r="AE81" s="6">
        <f t="shared" si="53"/>
        <v>0</v>
      </c>
      <c r="AF81" s="7">
        <f t="shared" si="54"/>
        <v>-1</v>
      </c>
      <c r="AG81" s="6">
        <f t="shared" si="55"/>
        <v>832.53127040000004</v>
      </c>
      <c r="AI81" s="5"/>
    </row>
    <row r="82" spans="1:35" ht="14" x14ac:dyDescent="0.2">
      <c r="A82" s="8"/>
      <c r="B82" s="1"/>
      <c r="C82" s="87">
        <v>1159</v>
      </c>
      <c r="D82" s="87" t="s">
        <v>14</v>
      </c>
      <c r="E82" s="87">
        <v>1159</v>
      </c>
      <c r="F82" s="87" t="s">
        <v>14</v>
      </c>
      <c r="G82" s="87" t="s">
        <v>1</v>
      </c>
      <c r="H82" s="87" t="s">
        <v>3</v>
      </c>
      <c r="I82" s="89" t="s">
        <v>21</v>
      </c>
      <c r="J82" s="6">
        <v>437.40907302400007</v>
      </c>
      <c r="K82" s="6">
        <v>425.23</v>
      </c>
      <c r="L82" s="7">
        <f t="shared" si="42"/>
        <v>-2.7843668033223024E-2</v>
      </c>
      <c r="M82" s="6">
        <f t="shared" si="43"/>
        <v>12.179073024000047</v>
      </c>
      <c r="N82" s="6">
        <v>437.40907302400007</v>
      </c>
      <c r="O82" s="6">
        <v>425.24</v>
      </c>
      <c r="P82" s="7">
        <f t="shared" si="44"/>
        <v>-2.7820806138907805E-2</v>
      </c>
      <c r="Q82" s="6">
        <f t="shared" si="45"/>
        <v>12.169073024000056</v>
      </c>
      <c r="R82" s="6">
        <v>437.40907302400007</v>
      </c>
      <c r="S82" s="6">
        <v>425.23</v>
      </c>
      <c r="T82" s="7">
        <f t="shared" si="46"/>
        <v>-2.7843668033223024E-2</v>
      </c>
      <c r="U82" s="6">
        <f t="shared" si="47"/>
        <v>12.179073024000047</v>
      </c>
      <c r="V82" s="6">
        <v>437.40907302400007</v>
      </c>
      <c r="W82" s="6">
        <v>576.33000000000004</v>
      </c>
      <c r="X82" s="7">
        <f t="shared" si="48"/>
        <v>0.31759955506999171</v>
      </c>
      <c r="Y82" s="6">
        <f t="shared" si="49"/>
        <v>-138.92092697599998</v>
      </c>
      <c r="Z82" s="6">
        <v>445.61091097600001</v>
      </c>
      <c r="AA82" s="6">
        <v>1004.44</v>
      </c>
      <c r="AB82" s="7">
        <f t="shared" si="50"/>
        <v>1.2540740705832891</v>
      </c>
      <c r="AC82" s="6">
        <f t="shared" si="51"/>
        <v>-558.82908902400004</v>
      </c>
      <c r="AD82" s="6">
        <f t="shared" si="52"/>
        <v>2195.247203072</v>
      </c>
      <c r="AE82" s="6">
        <f t="shared" si="53"/>
        <v>2856.4700000000003</v>
      </c>
      <c r="AF82" s="7">
        <f t="shared" si="54"/>
        <v>0.30120653200363656</v>
      </c>
      <c r="AG82" s="6">
        <f t="shared" si="55"/>
        <v>-661.22279692800021</v>
      </c>
      <c r="AI82" s="5"/>
    </row>
    <row r="83" spans="1:35" ht="14" x14ac:dyDescent="0.2">
      <c r="A83" s="8"/>
      <c r="B83" s="1"/>
      <c r="C83" s="87">
        <v>1159</v>
      </c>
      <c r="D83" s="87" t="s">
        <v>14</v>
      </c>
      <c r="E83" s="87">
        <v>1159</v>
      </c>
      <c r="F83" s="87" t="s">
        <v>14</v>
      </c>
      <c r="G83" s="87" t="s">
        <v>1</v>
      </c>
      <c r="H83" s="87" t="s">
        <v>3</v>
      </c>
      <c r="I83" s="89" t="s">
        <v>20</v>
      </c>
      <c r="J83" s="6">
        <v>497.05576480000002</v>
      </c>
      <c r="K83" s="6">
        <v>0</v>
      </c>
      <c r="L83" s="7">
        <f t="shared" si="42"/>
        <v>-1</v>
      </c>
      <c r="M83" s="6">
        <f t="shared" si="43"/>
        <v>497.05576480000002</v>
      </c>
      <c r="N83" s="6">
        <v>497.05576480000002</v>
      </c>
      <c r="O83" s="6">
        <v>0</v>
      </c>
      <c r="P83" s="7">
        <f t="shared" si="44"/>
        <v>-1</v>
      </c>
      <c r="Q83" s="6">
        <f t="shared" si="45"/>
        <v>497.05576480000002</v>
      </c>
      <c r="R83" s="6">
        <v>497.05576480000002</v>
      </c>
      <c r="S83" s="6">
        <v>0</v>
      </c>
      <c r="T83" s="7">
        <f t="shared" si="46"/>
        <v>-1</v>
      </c>
      <c r="U83" s="6">
        <f t="shared" si="47"/>
        <v>497.05576480000002</v>
      </c>
      <c r="V83" s="6">
        <v>497.05576480000002</v>
      </c>
      <c r="W83" s="6">
        <v>0</v>
      </c>
      <c r="X83" s="7">
        <f t="shared" si="48"/>
        <v>-1</v>
      </c>
      <c r="Y83" s="6">
        <f t="shared" si="49"/>
        <v>497.05576480000002</v>
      </c>
      <c r="Z83" s="6">
        <v>506.37603520000005</v>
      </c>
      <c r="AA83" s="6">
        <v>0</v>
      </c>
      <c r="AB83" s="7">
        <f t="shared" si="50"/>
        <v>-1</v>
      </c>
      <c r="AC83" s="6">
        <f t="shared" si="51"/>
        <v>506.37603520000005</v>
      </c>
      <c r="AD83" s="6">
        <f t="shared" si="52"/>
        <v>2494.5990944</v>
      </c>
      <c r="AE83" s="6">
        <f t="shared" si="53"/>
        <v>0</v>
      </c>
      <c r="AF83" s="7">
        <f t="shared" si="54"/>
        <v>-1</v>
      </c>
      <c r="AG83" s="6">
        <f t="shared" si="55"/>
        <v>2494.5990944</v>
      </c>
      <c r="AI83" s="5"/>
    </row>
    <row r="84" spans="1:35" ht="14" x14ac:dyDescent="0.2">
      <c r="A84" s="8"/>
      <c r="B84" s="1"/>
      <c r="C84" s="87">
        <v>1159</v>
      </c>
      <c r="D84" s="87" t="s">
        <v>14</v>
      </c>
      <c r="E84" s="87">
        <v>1159</v>
      </c>
      <c r="F84" s="87" t="s">
        <v>14</v>
      </c>
      <c r="G84" s="87" t="s">
        <v>1</v>
      </c>
      <c r="H84" s="87" t="s">
        <v>3</v>
      </c>
      <c r="I84" s="89" t="s">
        <v>19</v>
      </c>
      <c r="J84" s="6">
        <v>5967.0560000000005</v>
      </c>
      <c r="K84" s="6">
        <v>0</v>
      </c>
      <c r="L84" s="7">
        <f t="shared" si="42"/>
        <v>-1</v>
      </c>
      <c r="M84" s="6">
        <f t="shared" si="43"/>
        <v>5967.0560000000005</v>
      </c>
      <c r="N84" s="6">
        <v>5967.0560000000005</v>
      </c>
      <c r="O84" s="6">
        <v>6231.75</v>
      </c>
      <c r="P84" s="7">
        <f t="shared" si="44"/>
        <v>4.4359228403420214E-2</v>
      </c>
      <c r="Q84" s="6">
        <f t="shared" si="45"/>
        <v>-264.69399999999951</v>
      </c>
      <c r="R84" s="6">
        <v>5967.0560000000005</v>
      </c>
      <c r="S84" s="6">
        <v>0</v>
      </c>
      <c r="T84" s="7">
        <f t="shared" si="46"/>
        <v>-1</v>
      </c>
      <c r="U84" s="6">
        <f t="shared" si="47"/>
        <v>5967.0560000000005</v>
      </c>
      <c r="V84" s="6">
        <v>5967.0560000000005</v>
      </c>
      <c r="W84" s="6">
        <v>0</v>
      </c>
      <c r="X84" s="7">
        <f t="shared" si="48"/>
        <v>-1</v>
      </c>
      <c r="Y84" s="6">
        <f t="shared" si="49"/>
        <v>5967.0560000000005</v>
      </c>
      <c r="Z84" s="6">
        <v>6078.9440000000004</v>
      </c>
      <c r="AA84" s="6">
        <v>0</v>
      </c>
      <c r="AB84" s="7">
        <f t="shared" si="50"/>
        <v>-1</v>
      </c>
      <c r="AC84" s="6">
        <f t="shared" si="51"/>
        <v>6078.9440000000004</v>
      </c>
      <c r="AD84" s="6">
        <f t="shared" si="52"/>
        <v>29947.168000000001</v>
      </c>
      <c r="AE84" s="6">
        <f t="shared" si="53"/>
        <v>6231.75</v>
      </c>
      <c r="AF84" s="7">
        <f t="shared" si="54"/>
        <v>-0.79190853706100017</v>
      </c>
      <c r="AG84" s="6">
        <f t="shared" si="55"/>
        <v>23715.418000000001</v>
      </c>
      <c r="AI84" s="5"/>
    </row>
    <row r="85" spans="1:35" ht="14" x14ac:dyDescent="0.2">
      <c r="A85" s="8"/>
      <c r="B85" s="1"/>
      <c r="C85" s="87">
        <v>1159</v>
      </c>
      <c r="D85" s="87" t="s">
        <v>14</v>
      </c>
      <c r="E85" s="87">
        <v>1159</v>
      </c>
      <c r="F85" s="87" t="s">
        <v>14</v>
      </c>
      <c r="G85" s="87" t="s">
        <v>1</v>
      </c>
      <c r="H85" s="87" t="s">
        <v>3</v>
      </c>
      <c r="I85" s="89" t="s">
        <v>18</v>
      </c>
      <c r="J85" s="6">
        <v>59023.16</v>
      </c>
      <c r="K85" s="6">
        <v>58976.86</v>
      </c>
      <c r="L85" s="7">
        <f t="shared" si="42"/>
        <v>-7.8443783762172092E-4</v>
      </c>
      <c r="M85" s="6">
        <f t="shared" si="43"/>
        <v>46.30000000000291</v>
      </c>
      <c r="N85" s="6">
        <v>59023.16</v>
      </c>
      <c r="O85" s="6">
        <v>51035.99</v>
      </c>
      <c r="P85" s="7">
        <f t="shared" si="44"/>
        <v>-0.1353226428405393</v>
      </c>
      <c r="Q85" s="6">
        <f t="shared" si="45"/>
        <v>7987.1700000000055</v>
      </c>
      <c r="R85" s="6">
        <v>59023.16</v>
      </c>
      <c r="S85" s="6">
        <v>42427.23</v>
      </c>
      <c r="T85" s="7">
        <f t="shared" si="46"/>
        <v>-0.28117657543242347</v>
      </c>
      <c r="U85" s="6">
        <f t="shared" si="47"/>
        <v>16595.93</v>
      </c>
      <c r="V85" s="6">
        <v>59023.16</v>
      </c>
      <c r="W85" s="6">
        <v>56467.88</v>
      </c>
      <c r="X85" s="7">
        <f t="shared" si="48"/>
        <v>-4.3292836235809928E-2</v>
      </c>
      <c r="Y85" s="6">
        <f t="shared" si="49"/>
        <v>2555.2800000000061</v>
      </c>
      <c r="Z85" s="6">
        <v>60142.04</v>
      </c>
      <c r="AA85" s="6">
        <v>49101.33</v>
      </c>
      <c r="AB85" s="7">
        <f t="shared" si="50"/>
        <v>-0.18357724480247095</v>
      </c>
      <c r="AC85" s="6">
        <f t="shared" si="51"/>
        <v>11040.71</v>
      </c>
      <c r="AD85" s="6">
        <f t="shared" si="52"/>
        <v>296234.68</v>
      </c>
      <c r="AE85" s="6">
        <f t="shared" si="53"/>
        <v>258009.29000000004</v>
      </c>
      <c r="AF85" s="7">
        <f t="shared" si="54"/>
        <v>-0.12903752524856293</v>
      </c>
      <c r="AG85" s="6">
        <f t="shared" si="55"/>
        <v>38225.389999999956</v>
      </c>
      <c r="AI85" s="5"/>
    </row>
    <row r="86" spans="1:35" ht="14" x14ac:dyDescent="0.2">
      <c r="A86" s="8"/>
      <c r="B86" s="1"/>
      <c r="C86" s="87">
        <v>1159</v>
      </c>
      <c r="D86" s="87" t="s">
        <v>14</v>
      </c>
      <c r="E86" s="87">
        <v>1159</v>
      </c>
      <c r="F86" s="87" t="s">
        <v>14</v>
      </c>
      <c r="G86" s="87" t="s">
        <v>1</v>
      </c>
      <c r="H86" s="87" t="s">
        <v>3</v>
      </c>
      <c r="I86" s="89" t="s">
        <v>17</v>
      </c>
      <c r="J86" s="6">
        <v>52.56</v>
      </c>
      <c r="K86" s="6">
        <v>52.56</v>
      </c>
      <c r="L86" s="7">
        <f t="shared" si="42"/>
        <v>0</v>
      </c>
      <c r="M86" s="6">
        <f t="shared" si="43"/>
        <v>0</v>
      </c>
      <c r="N86" s="6">
        <v>52.56</v>
      </c>
      <c r="O86" s="6">
        <v>52.56</v>
      </c>
      <c r="P86" s="7">
        <f t="shared" si="44"/>
        <v>0</v>
      </c>
      <c r="Q86" s="6">
        <f t="shared" si="45"/>
        <v>0</v>
      </c>
      <c r="R86" s="6">
        <v>52.56</v>
      </c>
      <c r="S86" s="6">
        <v>0</v>
      </c>
      <c r="T86" s="7">
        <f t="shared" si="46"/>
        <v>-1</v>
      </c>
      <c r="U86" s="6">
        <f t="shared" si="47"/>
        <v>52.56</v>
      </c>
      <c r="V86" s="6">
        <v>52.56</v>
      </c>
      <c r="W86" s="6">
        <v>0</v>
      </c>
      <c r="X86" s="7">
        <f t="shared" si="48"/>
        <v>-1</v>
      </c>
      <c r="Y86" s="6">
        <f t="shared" si="49"/>
        <v>52.56</v>
      </c>
      <c r="Z86" s="6">
        <v>57.816000000000003</v>
      </c>
      <c r="AA86" s="6">
        <v>0</v>
      </c>
      <c r="AB86" s="7">
        <f t="shared" si="50"/>
        <v>-1</v>
      </c>
      <c r="AC86" s="6">
        <f t="shared" si="51"/>
        <v>57.816000000000003</v>
      </c>
      <c r="AD86" s="6">
        <f t="shared" si="52"/>
        <v>268.05600000000004</v>
      </c>
      <c r="AE86" s="6">
        <f t="shared" si="53"/>
        <v>105.12</v>
      </c>
      <c r="AF86" s="7">
        <f t="shared" si="54"/>
        <v>-0.60784313725490202</v>
      </c>
      <c r="AG86" s="6">
        <f t="shared" si="55"/>
        <v>162.93600000000004</v>
      </c>
      <c r="AI86" s="5"/>
    </row>
    <row r="87" spans="1:35" ht="14" x14ac:dyDescent="0.2">
      <c r="A87" s="8"/>
      <c r="B87" s="1"/>
      <c r="C87" s="87">
        <v>1159</v>
      </c>
      <c r="D87" s="87" t="s">
        <v>14</v>
      </c>
      <c r="E87" s="87">
        <v>1159</v>
      </c>
      <c r="F87" s="87" t="s">
        <v>14</v>
      </c>
      <c r="G87" s="87" t="s">
        <v>1</v>
      </c>
      <c r="H87" s="87" t="s">
        <v>3</v>
      </c>
      <c r="I87" s="89" t="s">
        <v>12</v>
      </c>
      <c r="J87" s="6">
        <v>2520</v>
      </c>
      <c r="K87" s="6">
        <v>6090.4</v>
      </c>
      <c r="L87" s="7">
        <f t="shared" si="42"/>
        <v>1.4168253968253968</v>
      </c>
      <c r="M87" s="6">
        <f t="shared" si="43"/>
        <v>-3570.3999999999996</v>
      </c>
      <c r="N87" s="6">
        <v>2520</v>
      </c>
      <c r="O87" s="6">
        <v>2200</v>
      </c>
      <c r="P87" s="7">
        <f t="shared" si="44"/>
        <v>-0.12698412698412698</v>
      </c>
      <c r="Q87" s="6">
        <f t="shared" si="45"/>
        <v>320</v>
      </c>
      <c r="R87" s="6">
        <v>2520</v>
      </c>
      <c r="S87" s="6">
        <v>1850</v>
      </c>
      <c r="T87" s="7">
        <f t="shared" si="46"/>
        <v>-0.26587301587301593</v>
      </c>
      <c r="U87" s="6">
        <f t="shared" si="47"/>
        <v>670</v>
      </c>
      <c r="V87" s="6">
        <v>2520</v>
      </c>
      <c r="W87" s="6">
        <v>1850</v>
      </c>
      <c r="X87" s="7">
        <f t="shared" si="48"/>
        <v>-0.26587301587301593</v>
      </c>
      <c r="Y87" s="6">
        <f t="shared" si="49"/>
        <v>670</v>
      </c>
      <c r="Z87" s="6">
        <v>2633.3999999999996</v>
      </c>
      <c r="AA87" s="6">
        <v>1970</v>
      </c>
      <c r="AB87" s="7">
        <f t="shared" si="50"/>
        <v>-0.25191767297030443</v>
      </c>
      <c r="AC87" s="6">
        <f t="shared" si="51"/>
        <v>663.39999999999964</v>
      </c>
      <c r="AD87" s="6">
        <f t="shared" si="52"/>
        <v>12713.4</v>
      </c>
      <c r="AE87" s="6">
        <f t="shared" si="53"/>
        <v>13960.4</v>
      </c>
      <c r="AF87" s="7">
        <f t="shared" si="54"/>
        <v>9.8085484606792894E-2</v>
      </c>
      <c r="AG87" s="6">
        <f t="shared" si="55"/>
        <v>-1247</v>
      </c>
      <c r="AI87" s="5"/>
    </row>
    <row r="88" spans="1:35" ht="14" x14ac:dyDescent="0.2">
      <c r="A88" s="8"/>
      <c r="B88" s="1"/>
      <c r="C88" s="87">
        <v>1159</v>
      </c>
      <c r="D88" s="87" t="s">
        <v>14</v>
      </c>
      <c r="E88" s="87">
        <v>1159</v>
      </c>
      <c r="F88" s="87" t="s">
        <v>14</v>
      </c>
      <c r="G88" s="87" t="s">
        <v>1</v>
      </c>
      <c r="H88" s="87" t="s">
        <v>3</v>
      </c>
      <c r="I88" s="89" t="s">
        <v>16</v>
      </c>
      <c r="J88" s="6">
        <v>0</v>
      </c>
      <c r="K88" s="6">
        <v>0</v>
      </c>
      <c r="L88" s="7">
        <f t="shared" si="42"/>
        <v>-1</v>
      </c>
      <c r="M88" s="6">
        <f t="shared" si="43"/>
        <v>0</v>
      </c>
      <c r="N88" s="6">
        <v>0</v>
      </c>
      <c r="O88" s="6">
        <v>0</v>
      </c>
      <c r="P88" s="7">
        <f t="shared" si="44"/>
        <v>-1</v>
      </c>
      <c r="Q88" s="6">
        <f t="shared" si="45"/>
        <v>0</v>
      </c>
      <c r="R88" s="6">
        <v>0</v>
      </c>
      <c r="S88" s="6">
        <v>0</v>
      </c>
      <c r="T88" s="7">
        <f t="shared" si="46"/>
        <v>-1</v>
      </c>
      <c r="U88" s="6">
        <f t="shared" si="47"/>
        <v>0</v>
      </c>
      <c r="V88" s="6">
        <v>0</v>
      </c>
      <c r="W88" s="6">
        <v>0</v>
      </c>
      <c r="X88" s="7">
        <f t="shared" si="48"/>
        <v>-1</v>
      </c>
      <c r="Y88" s="6">
        <f t="shared" si="49"/>
        <v>0</v>
      </c>
      <c r="Z88" s="6">
        <v>0</v>
      </c>
      <c r="AA88" s="6">
        <v>0</v>
      </c>
      <c r="AB88" s="7">
        <f t="shared" si="50"/>
        <v>-1</v>
      </c>
      <c r="AC88" s="6">
        <f t="shared" si="51"/>
        <v>0</v>
      </c>
      <c r="AD88" s="6">
        <f t="shared" si="52"/>
        <v>0</v>
      </c>
      <c r="AE88" s="6">
        <f t="shared" si="53"/>
        <v>0</v>
      </c>
      <c r="AF88" s="7">
        <f t="shared" si="54"/>
        <v>-1</v>
      </c>
      <c r="AG88" s="6">
        <f t="shared" si="55"/>
        <v>0</v>
      </c>
      <c r="AI88" s="5"/>
    </row>
    <row r="89" spans="1:35" ht="14" x14ac:dyDescent="0.2">
      <c r="A89" s="8"/>
      <c r="B89" s="1"/>
      <c r="C89" s="87">
        <v>1159</v>
      </c>
      <c r="D89" s="87" t="s">
        <v>14</v>
      </c>
      <c r="E89" s="87">
        <v>1160</v>
      </c>
      <c r="F89" s="87" t="s">
        <v>13</v>
      </c>
      <c r="G89" s="87" t="s">
        <v>1</v>
      </c>
      <c r="H89" s="87" t="s">
        <v>3</v>
      </c>
      <c r="I89" s="89" t="s">
        <v>39</v>
      </c>
      <c r="J89" s="6">
        <v>1683.2049320000001</v>
      </c>
      <c r="K89" s="6">
        <v>0</v>
      </c>
      <c r="L89" s="7">
        <f t="shared" si="42"/>
        <v>-1</v>
      </c>
      <c r="M89" s="6">
        <f t="shared" si="43"/>
        <v>1683.2049320000001</v>
      </c>
      <c r="N89" s="6">
        <v>1858.344932</v>
      </c>
      <c r="O89" s="6">
        <v>0</v>
      </c>
      <c r="P89" s="7">
        <f t="shared" si="44"/>
        <v>-1</v>
      </c>
      <c r="Q89" s="6">
        <f t="shared" si="45"/>
        <v>1858.344932</v>
      </c>
      <c r="R89" s="6">
        <v>1922.2849319999996</v>
      </c>
      <c r="S89" s="6">
        <v>0</v>
      </c>
      <c r="T89" s="7">
        <f t="shared" si="46"/>
        <v>-1</v>
      </c>
      <c r="U89" s="6">
        <f t="shared" si="47"/>
        <v>1922.2849319999996</v>
      </c>
      <c r="V89" s="6">
        <v>1922.2849319999996</v>
      </c>
      <c r="W89" s="6">
        <v>0</v>
      </c>
      <c r="X89" s="7">
        <f t="shared" si="48"/>
        <v>-1</v>
      </c>
      <c r="Y89" s="6">
        <f t="shared" si="49"/>
        <v>1922.2849319999996</v>
      </c>
      <c r="Z89" s="6">
        <v>2001.3657210599997</v>
      </c>
      <c r="AA89" s="6">
        <v>0</v>
      </c>
      <c r="AB89" s="7">
        <f t="shared" si="50"/>
        <v>-1</v>
      </c>
      <c r="AC89" s="6">
        <f t="shared" si="51"/>
        <v>2001.3657210599997</v>
      </c>
      <c r="AD89" s="6">
        <f t="shared" si="52"/>
        <v>9387.4854490599992</v>
      </c>
      <c r="AE89" s="6">
        <f t="shared" si="53"/>
        <v>0</v>
      </c>
      <c r="AF89" s="7">
        <f t="shared" si="54"/>
        <v>-1</v>
      </c>
      <c r="AG89" s="6">
        <f t="shared" si="55"/>
        <v>9387.4854490599992</v>
      </c>
      <c r="AI89" s="5"/>
    </row>
    <row r="90" spans="1:35" ht="14" x14ac:dyDescent="0.2">
      <c r="A90" s="8"/>
      <c r="B90" s="1"/>
      <c r="C90" s="87">
        <v>1159</v>
      </c>
      <c r="D90" s="87" t="s">
        <v>14</v>
      </c>
      <c r="E90" s="87">
        <v>1160</v>
      </c>
      <c r="F90" s="87" t="s">
        <v>13</v>
      </c>
      <c r="G90" s="87" t="s">
        <v>1</v>
      </c>
      <c r="H90" s="87" t="s">
        <v>3</v>
      </c>
      <c r="I90" s="89" t="s">
        <v>32</v>
      </c>
      <c r="J90" s="6">
        <v>5043.5601019999995</v>
      </c>
      <c r="K90" s="6">
        <v>5045.59</v>
      </c>
      <c r="L90" s="7">
        <f t="shared" si="42"/>
        <v>4.0247324488018599E-4</v>
      </c>
      <c r="M90" s="6">
        <f t="shared" si="43"/>
        <v>-2.029898000000685</v>
      </c>
      <c r="N90" s="6">
        <v>5568.3501019999994</v>
      </c>
      <c r="O90" s="6">
        <v>5045.5600000000004</v>
      </c>
      <c r="P90" s="7">
        <f t="shared" si="44"/>
        <v>-9.3885997184736447E-2</v>
      </c>
      <c r="Q90" s="6">
        <f t="shared" si="45"/>
        <v>522.79010199999902</v>
      </c>
      <c r="R90" s="6">
        <v>5759.9401019999996</v>
      </c>
      <c r="S90" s="6">
        <v>5045.59</v>
      </c>
      <c r="T90" s="7">
        <f t="shared" si="46"/>
        <v>-0.12402040461357555</v>
      </c>
      <c r="U90" s="6">
        <f t="shared" si="47"/>
        <v>714.35010199999942</v>
      </c>
      <c r="V90" s="6">
        <v>5759.9401019999996</v>
      </c>
      <c r="W90" s="6">
        <v>8366.92</v>
      </c>
      <c r="X90" s="7">
        <f t="shared" si="48"/>
        <v>0.45260538336063427</v>
      </c>
      <c r="Y90" s="6">
        <f t="shared" si="49"/>
        <v>-2606.9798980000005</v>
      </c>
      <c r="Z90" s="6">
        <v>5996.8980059099995</v>
      </c>
      <c r="AA90" s="6">
        <v>5045.5600000000004</v>
      </c>
      <c r="AB90" s="7">
        <f t="shared" si="50"/>
        <v>-0.1586383501891222</v>
      </c>
      <c r="AC90" s="6">
        <f t="shared" si="51"/>
        <v>951.33800590999908</v>
      </c>
      <c r="AD90" s="6">
        <f t="shared" si="52"/>
        <v>28128.68841391</v>
      </c>
      <c r="AE90" s="6">
        <f t="shared" si="53"/>
        <v>28549.220000000005</v>
      </c>
      <c r="AF90" s="7">
        <f t="shared" si="54"/>
        <v>1.4950273539310999E-2</v>
      </c>
      <c r="AG90" s="6">
        <f t="shared" si="55"/>
        <v>-420.53158609000457</v>
      </c>
      <c r="AI90" s="5"/>
    </row>
    <row r="91" spans="1:35" ht="14" x14ac:dyDescent="0.2">
      <c r="A91" s="8"/>
      <c r="B91" s="1"/>
      <c r="C91" s="87">
        <v>1159</v>
      </c>
      <c r="D91" s="87" t="s">
        <v>14</v>
      </c>
      <c r="E91" s="87">
        <v>1160</v>
      </c>
      <c r="F91" s="87" t="s">
        <v>13</v>
      </c>
      <c r="G91" s="87" t="s">
        <v>1</v>
      </c>
      <c r="H91" s="87" t="s">
        <v>3</v>
      </c>
      <c r="I91" s="89" t="s">
        <v>42</v>
      </c>
      <c r="J91" s="6">
        <v>0</v>
      </c>
      <c r="K91" s="6">
        <v>0</v>
      </c>
      <c r="L91" s="7">
        <f t="shared" si="42"/>
        <v>-1</v>
      </c>
      <c r="M91" s="6">
        <f t="shared" si="43"/>
        <v>0</v>
      </c>
      <c r="N91" s="6">
        <v>0</v>
      </c>
      <c r="O91" s="6">
        <v>0</v>
      </c>
      <c r="P91" s="7">
        <f t="shared" si="44"/>
        <v>-1</v>
      </c>
      <c r="Q91" s="6">
        <f t="shared" si="45"/>
        <v>0</v>
      </c>
      <c r="R91" s="6">
        <v>0</v>
      </c>
      <c r="S91" s="6">
        <v>0</v>
      </c>
      <c r="T91" s="7">
        <f t="shared" si="46"/>
        <v>-1</v>
      </c>
      <c r="U91" s="6">
        <f t="shared" si="47"/>
        <v>0</v>
      </c>
      <c r="V91" s="6">
        <v>0</v>
      </c>
      <c r="W91" s="6">
        <v>0</v>
      </c>
      <c r="X91" s="7">
        <f t="shared" si="48"/>
        <v>-1</v>
      </c>
      <c r="Y91" s="6">
        <f t="shared" si="49"/>
        <v>0</v>
      </c>
      <c r="Z91" s="6">
        <v>0</v>
      </c>
      <c r="AA91" s="6">
        <v>0</v>
      </c>
      <c r="AB91" s="7">
        <f t="shared" si="50"/>
        <v>-1</v>
      </c>
      <c r="AC91" s="6">
        <f t="shared" si="51"/>
        <v>0</v>
      </c>
      <c r="AD91" s="6">
        <f t="shared" si="52"/>
        <v>0</v>
      </c>
      <c r="AE91" s="6">
        <f t="shared" si="53"/>
        <v>0</v>
      </c>
      <c r="AF91" s="7">
        <f t="shared" si="54"/>
        <v>-1</v>
      </c>
      <c r="AG91" s="6">
        <f t="shared" si="55"/>
        <v>0</v>
      </c>
      <c r="AI91" s="5"/>
    </row>
    <row r="92" spans="1:35" ht="14" x14ac:dyDescent="0.2">
      <c r="A92" s="8"/>
      <c r="B92" s="1"/>
      <c r="C92" s="87">
        <v>1159</v>
      </c>
      <c r="D92" s="87" t="s">
        <v>14</v>
      </c>
      <c r="E92" s="87">
        <v>1160</v>
      </c>
      <c r="F92" s="87" t="s">
        <v>13</v>
      </c>
      <c r="G92" s="87" t="s">
        <v>1</v>
      </c>
      <c r="H92" s="87" t="s">
        <v>3</v>
      </c>
      <c r="I92" s="89" t="s">
        <v>31</v>
      </c>
      <c r="J92" s="6">
        <v>6983.2</v>
      </c>
      <c r="K92" s="6">
        <v>6328.04</v>
      </c>
      <c r="L92" s="7">
        <f t="shared" si="42"/>
        <v>-9.3819452400045855E-2</v>
      </c>
      <c r="M92" s="6">
        <f t="shared" si="43"/>
        <v>655.15999999999985</v>
      </c>
      <c r="N92" s="6">
        <v>7638.36</v>
      </c>
      <c r="O92" s="6">
        <v>6328.04</v>
      </c>
      <c r="P92" s="7">
        <f t="shared" si="44"/>
        <v>-0.17154467712964561</v>
      </c>
      <c r="Q92" s="6">
        <f t="shared" si="45"/>
        <v>1310.3199999999997</v>
      </c>
      <c r="R92" s="6">
        <v>8293.52</v>
      </c>
      <c r="S92" s="6">
        <v>7854.16</v>
      </c>
      <c r="T92" s="7">
        <f t="shared" si="46"/>
        <v>-5.2976299568820107E-2</v>
      </c>
      <c r="U92" s="6">
        <f t="shared" si="47"/>
        <v>439.36000000000058</v>
      </c>
      <c r="V92" s="6">
        <v>8293.52</v>
      </c>
      <c r="W92" s="6">
        <v>5896.44</v>
      </c>
      <c r="X92" s="7">
        <f t="shared" si="48"/>
        <v>-0.28903047198294585</v>
      </c>
      <c r="Y92" s="6">
        <f t="shared" si="49"/>
        <v>2397.0800000000008</v>
      </c>
      <c r="Z92" s="6">
        <v>8293.52</v>
      </c>
      <c r="AA92" s="6">
        <v>5896.44</v>
      </c>
      <c r="AB92" s="7">
        <f t="shared" si="50"/>
        <v>-0.28903047198294585</v>
      </c>
      <c r="AC92" s="6">
        <f t="shared" si="51"/>
        <v>2397.0800000000008</v>
      </c>
      <c r="AD92" s="6">
        <f t="shared" si="52"/>
        <v>39502.120000000003</v>
      </c>
      <c r="AE92" s="6">
        <f t="shared" si="53"/>
        <v>32303.119999999995</v>
      </c>
      <c r="AF92" s="7">
        <f t="shared" si="54"/>
        <v>-0.18224338339309398</v>
      </c>
      <c r="AG92" s="6">
        <f t="shared" si="55"/>
        <v>7199.0000000000073</v>
      </c>
      <c r="AI92" s="5"/>
    </row>
    <row r="93" spans="1:35" ht="14" x14ac:dyDescent="0.2">
      <c r="A93" s="8"/>
      <c r="B93" s="1"/>
      <c r="C93" s="87">
        <v>1159</v>
      </c>
      <c r="D93" s="87" t="s">
        <v>14</v>
      </c>
      <c r="E93" s="87">
        <v>1160</v>
      </c>
      <c r="F93" s="87" t="s">
        <v>13</v>
      </c>
      <c r="G93" s="87" t="s">
        <v>1</v>
      </c>
      <c r="H93" s="87" t="s">
        <v>3</v>
      </c>
      <c r="I93" s="89" t="s">
        <v>30</v>
      </c>
      <c r="J93" s="6">
        <v>288.60000000000008</v>
      </c>
      <c r="K93" s="6">
        <v>259.74</v>
      </c>
      <c r="L93" s="7">
        <f t="shared" si="42"/>
        <v>-0.1000000000000002</v>
      </c>
      <c r="M93" s="6">
        <f t="shared" si="43"/>
        <v>28.86000000000007</v>
      </c>
      <c r="N93" s="6">
        <v>317.46000000000009</v>
      </c>
      <c r="O93" s="6">
        <v>259.74</v>
      </c>
      <c r="P93" s="7">
        <f t="shared" si="44"/>
        <v>-0.18181818181818199</v>
      </c>
      <c r="Q93" s="6">
        <f t="shared" si="45"/>
        <v>57.720000000000084</v>
      </c>
      <c r="R93" s="6">
        <v>346.32000000000011</v>
      </c>
      <c r="S93" s="6">
        <v>404.04</v>
      </c>
      <c r="T93" s="7">
        <f t="shared" si="46"/>
        <v>0.1666666666666663</v>
      </c>
      <c r="U93" s="6">
        <f t="shared" si="47"/>
        <v>-57.719999999999914</v>
      </c>
      <c r="V93" s="6">
        <v>346.32000000000011</v>
      </c>
      <c r="W93" s="6">
        <v>404.04</v>
      </c>
      <c r="X93" s="7">
        <f t="shared" si="48"/>
        <v>0.1666666666666663</v>
      </c>
      <c r="Y93" s="6">
        <f t="shared" si="49"/>
        <v>-57.719999999999914</v>
      </c>
      <c r="Z93" s="6">
        <v>349.20600000000007</v>
      </c>
      <c r="AA93" s="6">
        <v>404.04</v>
      </c>
      <c r="AB93" s="7">
        <f t="shared" si="50"/>
        <v>0.15702479338842967</v>
      </c>
      <c r="AC93" s="6">
        <f t="shared" si="51"/>
        <v>-54.833999999999946</v>
      </c>
      <c r="AD93" s="6">
        <f t="shared" si="52"/>
        <v>1647.9060000000006</v>
      </c>
      <c r="AE93" s="6">
        <f t="shared" si="53"/>
        <v>1731.6</v>
      </c>
      <c r="AF93" s="7">
        <f t="shared" si="54"/>
        <v>5.0788091068300734E-2</v>
      </c>
      <c r="AG93" s="6">
        <f t="shared" si="55"/>
        <v>-83.693999999999278</v>
      </c>
      <c r="AI93" s="5"/>
    </row>
    <row r="94" spans="1:35" ht="14" x14ac:dyDescent="0.2">
      <c r="A94" s="8"/>
      <c r="B94" s="1"/>
      <c r="C94" s="87">
        <v>1159</v>
      </c>
      <c r="D94" s="87" t="s">
        <v>14</v>
      </c>
      <c r="E94" s="87">
        <v>1160</v>
      </c>
      <c r="F94" s="87" t="s">
        <v>13</v>
      </c>
      <c r="G94" s="87" t="s">
        <v>1</v>
      </c>
      <c r="H94" s="87" t="s">
        <v>3</v>
      </c>
      <c r="I94" s="89" t="s">
        <v>29</v>
      </c>
      <c r="J94" s="6">
        <v>0</v>
      </c>
      <c r="K94" s="6">
        <v>0</v>
      </c>
      <c r="L94" s="7">
        <f t="shared" si="42"/>
        <v>-1</v>
      </c>
      <c r="M94" s="6">
        <f t="shared" si="43"/>
        <v>0</v>
      </c>
      <c r="N94" s="6">
        <v>0</v>
      </c>
      <c r="O94" s="6">
        <v>0</v>
      </c>
      <c r="P94" s="7">
        <f t="shared" si="44"/>
        <v>-1</v>
      </c>
      <c r="Q94" s="6">
        <f t="shared" si="45"/>
        <v>0</v>
      </c>
      <c r="R94" s="6">
        <v>0</v>
      </c>
      <c r="S94" s="6">
        <v>0</v>
      </c>
      <c r="T94" s="7">
        <f t="shared" si="46"/>
        <v>-1</v>
      </c>
      <c r="U94" s="6">
        <f t="shared" si="47"/>
        <v>0</v>
      </c>
      <c r="V94" s="6">
        <v>0</v>
      </c>
      <c r="W94" s="6">
        <v>0</v>
      </c>
      <c r="X94" s="7">
        <f t="shared" si="48"/>
        <v>-1</v>
      </c>
      <c r="Y94" s="6">
        <f t="shared" si="49"/>
        <v>0</v>
      </c>
      <c r="Z94" s="6">
        <v>0</v>
      </c>
      <c r="AA94" s="6">
        <v>0</v>
      </c>
      <c r="AB94" s="7">
        <f t="shared" si="50"/>
        <v>-1</v>
      </c>
      <c r="AC94" s="6">
        <f t="shared" si="51"/>
        <v>0</v>
      </c>
      <c r="AD94" s="6">
        <f t="shared" si="52"/>
        <v>0</v>
      </c>
      <c r="AE94" s="6">
        <f t="shared" si="53"/>
        <v>0</v>
      </c>
      <c r="AF94" s="7">
        <f t="shared" si="54"/>
        <v>-1</v>
      </c>
      <c r="AG94" s="6">
        <f t="shared" si="55"/>
        <v>0</v>
      </c>
      <c r="AI94" s="5"/>
    </row>
    <row r="95" spans="1:35" ht="14" x14ac:dyDescent="0.2">
      <c r="A95" s="8"/>
      <c r="B95" s="1"/>
      <c r="C95" s="87">
        <v>1159</v>
      </c>
      <c r="D95" s="87" t="s">
        <v>14</v>
      </c>
      <c r="E95" s="87">
        <v>1160</v>
      </c>
      <c r="F95" s="87" t="s">
        <v>13</v>
      </c>
      <c r="G95" s="87" t="s">
        <v>1</v>
      </c>
      <c r="H95" s="87" t="s">
        <v>3</v>
      </c>
      <c r="I95" s="89" t="s">
        <v>28</v>
      </c>
      <c r="J95" s="6">
        <v>0</v>
      </c>
      <c r="K95" s="6">
        <v>0</v>
      </c>
      <c r="L95" s="7">
        <f t="shared" si="42"/>
        <v>-1</v>
      </c>
      <c r="M95" s="6">
        <f t="shared" si="43"/>
        <v>0</v>
      </c>
      <c r="N95" s="6">
        <v>0</v>
      </c>
      <c r="O95" s="6">
        <v>0</v>
      </c>
      <c r="P95" s="7">
        <f t="shared" si="44"/>
        <v>-1</v>
      </c>
      <c r="Q95" s="6">
        <f t="shared" si="45"/>
        <v>0</v>
      </c>
      <c r="R95" s="6">
        <v>0</v>
      </c>
      <c r="S95" s="6">
        <v>0</v>
      </c>
      <c r="T95" s="7">
        <f t="shared" si="46"/>
        <v>-1</v>
      </c>
      <c r="U95" s="6">
        <f t="shared" si="47"/>
        <v>0</v>
      </c>
      <c r="V95" s="6">
        <v>15950.890851851849</v>
      </c>
      <c r="W95" s="6">
        <v>14404.93</v>
      </c>
      <c r="X95" s="7">
        <f t="shared" si="48"/>
        <v>-9.692003200387822E-2</v>
      </c>
      <c r="Y95" s="6">
        <f t="shared" si="49"/>
        <v>1545.9608518518489</v>
      </c>
      <c r="Z95" s="6">
        <v>15950.890851851849</v>
      </c>
      <c r="AA95" s="6">
        <v>14404.93</v>
      </c>
      <c r="AB95" s="7">
        <f t="shared" si="50"/>
        <v>-9.692003200387822E-2</v>
      </c>
      <c r="AC95" s="6">
        <f t="shared" si="51"/>
        <v>1545.9608518518489</v>
      </c>
      <c r="AD95" s="6">
        <f t="shared" si="52"/>
        <v>31901.781703703698</v>
      </c>
      <c r="AE95" s="6">
        <f t="shared" si="53"/>
        <v>28809.86</v>
      </c>
      <c r="AF95" s="7">
        <f t="shared" si="54"/>
        <v>-9.692003200387822E-2</v>
      </c>
      <c r="AG95" s="6">
        <f t="shared" si="55"/>
        <v>3091.9217037036979</v>
      </c>
      <c r="AI95" s="5"/>
    </row>
    <row r="96" spans="1:35" ht="14" x14ac:dyDescent="0.2">
      <c r="A96" s="8"/>
      <c r="B96" s="1"/>
      <c r="C96" s="87">
        <v>1159</v>
      </c>
      <c r="D96" s="87" t="s">
        <v>14</v>
      </c>
      <c r="E96" s="87">
        <v>1160</v>
      </c>
      <c r="F96" s="87" t="s">
        <v>13</v>
      </c>
      <c r="G96" s="87" t="s">
        <v>1</v>
      </c>
      <c r="H96" s="87" t="s">
        <v>3</v>
      </c>
      <c r="I96" s="89" t="s">
        <v>27</v>
      </c>
      <c r="J96" s="6">
        <v>4843.7551999999996</v>
      </c>
      <c r="K96" s="6">
        <v>5005.93</v>
      </c>
      <c r="L96" s="7">
        <f t="shared" si="42"/>
        <v>3.3481213088556006E-2</v>
      </c>
      <c r="M96" s="6">
        <f t="shared" si="43"/>
        <v>-162.17480000000069</v>
      </c>
      <c r="N96" s="6">
        <v>5347.7551999999996</v>
      </c>
      <c r="O96" s="6">
        <v>4843.7299999999996</v>
      </c>
      <c r="P96" s="7">
        <f t="shared" si="44"/>
        <v>-9.4249863942912016E-2</v>
      </c>
      <c r="Q96" s="6">
        <f t="shared" si="45"/>
        <v>504.02520000000004</v>
      </c>
      <c r="R96" s="6">
        <v>5531.7551999999996</v>
      </c>
      <c r="S96" s="6">
        <v>4968.99</v>
      </c>
      <c r="T96" s="7">
        <f t="shared" si="46"/>
        <v>-0.10173356912106302</v>
      </c>
      <c r="U96" s="6">
        <f t="shared" si="47"/>
        <v>562.76519999999982</v>
      </c>
      <c r="V96" s="6">
        <v>5531.7551999999996</v>
      </c>
      <c r="W96" s="6">
        <v>4923.3999999999996</v>
      </c>
      <c r="X96" s="7">
        <f t="shared" si="48"/>
        <v>-0.1099750762651247</v>
      </c>
      <c r="Y96" s="6">
        <f t="shared" si="49"/>
        <v>608.35519999999997</v>
      </c>
      <c r="Z96" s="6">
        <v>5759.3258160000005</v>
      </c>
      <c r="AA96" s="6">
        <v>5185.96</v>
      </c>
      <c r="AB96" s="7">
        <f t="shared" si="50"/>
        <v>-9.9554328808266312E-2</v>
      </c>
      <c r="AC96" s="6">
        <f t="shared" si="51"/>
        <v>573.36581600000045</v>
      </c>
      <c r="AD96" s="6">
        <f t="shared" si="52"/>
        <v>27014.346615999999</v>
      </c>
      <c r="AE96" s="6">
        <f t="shared" si="53"/>
        <v>24928.01</v>
      </c>
      <c r="AF96" s="7">
        <f t="shared" si="54"/>
        <v>-7.7230689516818107E-2</v>
      </c>
      <c r="AG96" s="6">
        <f t="shared" si="55"/>
        <v>2086.3366160000005</v>
      </c>
      <c r="AI96" s="5"/>
    </row>
    <row r="97" spans="1:35" ht="14" x14ac:dyDescent="0.2">
      <c r="A97" s="8"/>
      <c r="B97" s="1"/>
      <c r="C97" s="87">
        <v>1159</v>
      </c>
      <c r="D97" s="87" t="s">
        <v>14</v>
      </c>
      <c r="E97" s="87">
        <v>1160</v>
      </c>
      <c r="F97" s="87" t="s">
        <v>13</v>
      </c>
      <c r="G97" s="87" t="s">
        <v>1</v>
      </c>
      <c r="H97" s="87" t="s">
        <v>3</v>
      </c>
      <c r="I97" s="89" t="s">
        <v>26</v>
      </c>
      <c r="J97" s="6">
        <v>134.65639456</v>
      </c>
      <c r="K97" s="6">
        <v>0</v>
      </c>
      <c r="L97" s="7">
        <f t="shared" si="42"/>
        <v>-1</v>
      </c>
      <c r="M97" s="6">
        <f t="shared" si="43"/>
        <v>134.65639456</v>
      </c>
      <c r="N97" s="6">
        <v>148.66759456</v>
      </c>
      <c r="O97" s="6">
        <v>0</v>
      </c>
      <c r="P97" s="7">
        <f t="shared" si="44"/>
        <v>-1</v>
      </c>
      <c r="Q97" s="6">
        <f t="shared" si="45"/>
        <v>148.66759456</v>
      </c>
      <c r="R97" s="6">
        <v>153.78279455999999</v>
      </c>
      <c r="S97" s="6">
        <v>0</v>
      </c>
      <c r="T97" s="7">
        <f t="shared" si="46"/>
        <v>-1</v>
      </c>
      <c r="U97" s="6">
        <f t="shared" si="47"/>
        <v>153.78279455999999</v>
      </c>
      <c r="V97" s="6">
        <v>153.78279455999999</v>
      </c>
      <c r="W97" s="6">
        <v>0</v>
      </c>
      <c r="X97" s="7">
        <f t="shared" si="48"/>
        <v>-1</v>
      </c>
      <c r="Y97" s="6">
        <f t="shared" si="49"/>
        <v>153.78279455999999</v>
      </c>
      <c r="Z97" s="6">
        <v>160.10925768479999</v>
      </c>
      <c r="AA97" s="6">
        <v>0</v>
      </c>
      <c r="AB97" s="7">
        <f t="shared" si="50"/>
        <v>-1</v>
      </c>
      <c r="AC97" s="6">
        <f t="shared" si="51"/>
        <v>160.10925768479999</v>
      </c>
      <c r="AD97" s="6">
        <f t="shared" si="52"/>
        <v>750.99883592479989</v>
      </c>
      <c r="AE97" s="6">
        <f t="shared" si="53"/>
        <v>0</v>
      </c>
      <c r="AF97" s="7">
        <f t="shared" si="54"/>
        <v>-1</v>
      </c>
      <c r="AG97" s="6">
        <f t="shared" si="55"/>
        <v>750.99883592479989</v>
      </c>
      <c r="AI97" s="5"/>
    </row>
    <row r="98" spans="1:35" ht="14" x14ac:dyDescent="0.2">
      <c r="A98" s="8"/>
      <c r="B98" s="1"/>
      <c r="C98" s="87">
        <v>1159</v>
      </c>
      <c r="D98" s="87" t="s">
        <v>14</v>
      </c>
      <c r="E98" s="87">
        <v>1160</v>
      </c>
      <c r="F98" s="87" t="s">
        <v>13</v>
      </c>
      <c r="G98" s="87" t="s">
        <v>1</v>
      </c>
      <c r="H98" s="87" t="s">
        <v>3</v>
      </c>
      <c r="I98" s="89" t="s">
        <v>25</v>
      </c>
      <c r="J98" s="6">
        <v>403.48480816000006</v>
      </c>
      <c r="K98" s="6">
        <v>1975.28</v>
      </c>
      <c r="L98" s="7">
        <f t="shared" si="42"/>
        <v>3.8955498696662492</v>
      </c>
      <c r="M98" s="6">
        <f t="shared" si="43"/>
        <v>-1571.7951918399999</v>
      </c>
      <c r="N98" s="6">
        <v>445.46800815999995</v>
      </c>
      <c r="O98" s="6">
        <v>403.66</v>
      </c>
      <c r="P98" s="7">
        <f t="shared" si="44"/>
        <v>-9.3851875766988058E-2</v>
      </c>
      <c r="Q98" s="6">
        <f t="shared" si="45"/>
        <v>41.808008159999929</v>
      </c>
      <c r="R98" s="6">
        <v>460.79520816000002</v>
      </c>
      <c r="S98" s="6">
        <v>403.63</v>
      </c>
      <c r="T98" s="7">
        <f t="shared" si="46"/>
        <v>-0.12405773139062415</v>
      </c>
      <c r="U98" s="6">
        <f t="shared" si="47"/>
        <v>57.16520816000002</v>
      </c>
      <c r="V98" s="6">
        <v>460.79520816000002</v>
      </c>
      <c r="W98" s="6">
        <v>403.65</v>
      </c>
      <c r="X98" s="7">
        <f t="shared" si="48"/>
        <v>-0.12401432816149804</v>
      </c>
      <c r="Y98" s="6">
        <f t="shared" si="49"/>
        <v>57.145208160000038</v>
      </c>
      <c r="Z98" s="6">
        <v>479.75184047279998</v>
      </c>
      <c r="AA98" s="6">
        <v>403.65</v>
      </c>
      <c r="AB98" s="7">
        <f t="shared" si="50"/>
        <v>-0.1586275112520692</v>
      </c>
      <c r="AC98" s="6">
        <f t="shared" si="51"/>
        <v>76.101840472800006</v>
      </c>
      <c r="AD98" s="6">
        <f t="shared" si="52"/>
        <v>2250.2950731127999</v>
      </c>
      <c r="AE98" s="6">
        <f t="shared" si="53"/>
        <v>3589.8700000000003</v>
      </c>
      <c r="AF98" s="7">
        <f t="shared" si="54"/>
        <v>0.59528856588313395</v>
      </c>
      <c r="AG98" s="6">
        <f t="shared" si="55"/>
        <v>-1339.5749268872005</v>
      </c>
      <c r="AI98" s="5"/>
    </row>
    <row r="99" spans="1:35" ht="14" x14ac:dyDescent="0.2">
      <c r="A99" s="8"/>
      <c r="B99" s="1"/>
      <c r="C99" s="87">
        <v>1159</v>
      </c>
      <c r="D99" s="87" t="s">
        <v>14</v>
      </c>
      <c r="E99" s="87">
        <v>1160</v>
      </c>
      <c r="F99" s="87" t="s">
        <v>13</v>
      </c>
      <c r="G99" s="87" t="s">
        <v>1</v>
      </c>
      <c r="H99" s="87" t="s">
        <v>3</v>
      </c>
      <c r="I99" s="89" t="s">
        <v>24</v>
      </c>
      <c r="J99" s="6">
        <v>5328.1307200000001</v>
      </c>
      <c r="K99" s="6">
        <v>11844.35</v>
      </c>
      <c r="L99" s="7">
        <f t="shared" si="42"/>
        <v>1.2229841237829091</v>
      </c>
      <c r="M99" s="6">
        <f t="shared" si="43"/>
        <v>-6516.2192800000003</v>
      </c>
      <c r="N99" s="6">
        <v>5882.5307200000007</v>
      </c>
      <c r="O99" s="6">
        <v>5302.86</v>
      </c>
      <c r="P99" s="7">
        <f t="shared" si="44"/>
        <v>-9.8541044253144361E-2</v>
      </c>
      <c r="Q99" s="6">
        <f t="shared" si="45"/>
        <v>579.67072000000098</v>
      </c>
      <c r="R99" s="6">
        <v>6084.9307200000003</v>
      </c>
      <c r="S99" s="6">
        <v>11522.9</v>
      </c>
      <c r="T99" s="7">
        <f t="shared" si="46"/>
        <v>0.89367809268993592</v>
      </c>
      <c r="U99" s="6">
        <f t="shared" si="47"/>
        <v>-5437.9692799999993</v>
      </c>
      <c r="V99" s="6">
        <v>6084.9307200000003</v>
      </c>
      <c r="W99" s="6">
        <v>11417.16</v>
      </c>
      <c r="X99" s="7">
        <f t="shared" si="48"/>
        <v>0.87630073789895158</v>
      </c>
      <c r="Y99" s="6">
        <f t="shared" si="49"/>
        <v>-5332.2292799999996</v>
      </c>
      <c r="Z99" s="6">
        <v>6335.2583976000014</v>
      </c>
      <c r="AA99" s="6">
        <v>10314.879999999999</v>
      </c>
      <c r="AB99" s="7">
        <f t="shared" si="50"/>
        <v>0.62817036853739161</v>
      </c>
      <c r="AC99" s="6">
        <f t="shared" si="51"/>
        <v>-3979.6216023999978</v>
      </c>
      <c r="AD99" s="6">
        <f t="shared" si="52"/>
        <v>29715.781277600003</v>
      </c>
      <c r="AE99" s="6">
        <f t="shared" si="53"/>
        <v>50402.15</v>
      </c>
      <c r="AF99" s="7">
        <f t="shared" si="54"/>
        <v>0.69614083268251647</v>
      </c>
      <c r="AG99" s="6">
        <f t="shared" si="55"/>
        <v>-20686.368722399999</v>
      </c>
      <c r="AI99" s="5"/>
    </row>
    <row r="100" spans="1:35" ht="14" x14ac:dyDescent="0.2">
      <c r="A100" s="8"/>
      <c r="B100" s="1"/>
      <c r="C100" s="87">
        <v>1159</v>
      </c>
      <c r="D100" s="87" t="s">
        <v>14</v>
      </c>
      <c r="E100" s="87">
        <v>1160</v>
      </c>
      <c r="F100" s="87" t="s">
        <v>13</v>
      </c>
      <c r="G100" s="87" t="s">
        <v>1</v>
      </c>
      <c r="H100" s="87" t="s">
        <v>3</v>
      </c>
      <c r="I100" s="89" t="s">
        <v>23</v>
      </c>
      <c r="J100" s="6">
        <v>148.12203401600001</v>
      </c>
      <c r="K100" s="6">
        <v>0</v>
      </c>
      <c r="L100" s="7">
        <f t="shared" si="42"/>
        <v>-1</v>
      </c>
      <c r="M100" s="6">
        <f t="shared" si="43"/>
        <v>148.12203401600001</v>
      </c>
      <c r="N100" s="6">
        <v>163.53435401600001</v>
      </c>
      <c r="O100" s="6">
        <v>0</v>
      </c>
      <c r="P100" s="7">
        <f t="shared" si="44"/>
        <v>-1</v>
      </c>
      <c r="Q100" s="6">
        <f t="shared" si="45"/>
        <v>163.53435401600001</v>
      </c>
      <c r="R100" s="6">
        <v>169.16107401600001</v>
      </c>
      <c r="S100" s="6">
        <v>0</v>
      </c>
      <c r="T100" s="7">
        <f t="shared" si="46"/>
        <v>-1</v>
      </c>
      <c r="U100" s="6">
        <f t="shared" si="47"/>
        <v>169.16107401600001</v>
      </c>
      <c r="V100" s="6">
        <v>169.16107401600001</v>
      </c>
      <c r="W100" s="6">
        <v>0</v>
      </c>
      <c r="X100" s="7">
        <f t="shared" si="48"/>
        <v>-1</v>
      </c>
      <c r="Y100" s="6">
        <f t="shared" si="49"/>
        <v>169.16107401600001</v>
      </c>
      <c r="Z100" s="6">
        <v>176.12018345327999</v>
      </c>
      <c r="AA100" s="6">
        <v>0</v>
      </c>
      <c r="AB100" s="7">
        <f t="shared" si="50"/>
        <v>-1</v>
      </c>
      <c r="AC100" s="6">
        <f t="shared" si="51"/>
        <v>176.12018345327999</v>
      </c>
      <c r="AD100" s="6">
        <f t="shared" si="52"/>
        <v>826.09871951728007</v>
      </c>
      <c r="AE100" s="6">
        <f t="shared" si="53"/>
        <v>0</v>
      </c>
      <c r="AF100" s="7">
        <f t="shared" si="54"/>
        <v>-1</v>
      </c>
      <c r="AG100" s="6">
        <f t="shared" si="55"/>
        <v>826.09871951728007</v>
      </c>
      <c r="AI100" s="5"/>
    </row>
    <row r="101" spans="1:35" ht="14" x14ac:dyDescent="0.2">
      <c r="A101" s="8"/>
      <c r="B101" s="1"/>
      <c r="C101" s="87">
        <v>1159</v>
      </c>
      <c r="D101" s="87" t="s">
        <v>14</v>
      </c>
      <c r="E101" s="87">
        <v>1160</v>
      </c>
      <c r="F101" s="87" t="s">
        <v>13</v>
      </c>
      <c r="G101" s="87" t="s">
        <v>1</v>
      </c>
      <c r="H101" s="87" t="s">
        <v>3</v>
      </c>
      <c r="I101" s="89" t="s">
        <v>22</v>
      </c>
      <c r="J101" s="6">
        <v>168.32049319999999</v>
      </c>
      <c r="K101" s="6">
        <v>0</v>
      </c>
      <c r="L101" s="7">
        <f t="shared" si="42"/>
        <v>-1</v>
      </c>
      <c r="M101" s="6">
        <f t="shared" si="43"/>
        <v>168.32049319999999</v>
      </c>
      <c r="N101" s="6">
        <v>185.83449319999997</v>
      </c>
      <c r="O101" s="6">
        <v>0</v>
      </c>
      <c r="P101" s="7">
        <f t="shared" si="44"/>
        <v>-1</v>
      </c>
      <c r="Q101" s="6">
        <f t="shared" si="45"/>
        <v>185.83449319999997</v>
      </c>
      <c r="R101" s="6">
        <v>192.22849319999997</v>
      </c>
      <c r="S101" s="6">
        <v>0</v>
      </c>
      <c r="T101" s="7">
        <f t="shared" si="46"/>
        <v>-1</v>
      </c>
      <c r="U101" s="6">
        <f t="shared" si="47"/>
        <v>192.22849319999997</v>
      </c>
      <c r="V101" s="6">
        <v>192.22849319999997</v>
      </c>
      <c r="W101" s="6">
        <v>0</v>
      </c>
      <c r="X101" s="7">
        <f t="shared" si="48"/>
        <v>-1</v>
      </c>
      <c r="Y101" s="6">
        <f t="shared" si="49"/>
        <v>192.22849319999997</v>
      </c>
      <c r="Z101" s="6">
        <v>200.13657210599996</v>
      </c>
      <c r="AA101" s="6">
        <v>0</v>
      </c>
      <c r="AB101" s="7">
        <f t="shared" si="50"/>
        <v>-1</v>
      </c>
      <c r="AC101" s="6">
        <f t="shared" si="51"/>
        <v>200.13657210599996</v>
      </c>
      <c r="AD101" s="6">
        <f t="shared" si="52"/>
        <v>938.74854490600001</v>
      </c>
      <c r="AE101" s="6">
        <f t="shared" si="53"/>
        <v>0</v>
      </c>
      <c r="AF101" s="7">
        <f t="shared" si="54"/>
        <v>-1</v>
      </c>
      <c r="AG101" s="6">
        <f t="shared" si="55"/>
        <v>938.74854490600001</v>
      </c>
      <c r="AI101" s="5"/>
    </row>
    <row r="102" spans="1:35" ht="14" x14ac:dyDescent="0.2">
      <c r="A102" s="8"/>
      <c r="B102" s="1"/>
      <c r="C102" s="87">
        <v>1159</v>
      </c>
      <c r="D102" s="87" t="s">
        <v>14</v>
      </c>
      <c r="E102" s="87">
        <v>1160</v>
      </c>
      <c r="F102" s="87" t="s">
        <v>13</v>
      </c>
      <c r="G102" s="87" t="s">
        <v>1</v>
      </c>
      <c r="H102" s="87" t="s">
        <v>3</v>
      </c>
      <c r="I102" s="89" t="s">
        <v>21</v>
      </c>
      <c r="J102" s="6">
        <v>443.83328897600006</v>
      </c>
      <c r="K102" s="6">
        <v>431.48</v>
      </c>
      <c r="L102" s="7">
        <f t="shared" si="42"/>
        <v>-2.7833173587545001E-2</v>
      </c>
      <c r="M102" s="6">
        <f t="shared" si="43"/>
        <v>12.353288976000044</v>
      </c>
      <c r="N102" s="6">
        <v>490.01480897600004</v>
      </c>
      <c r="O102" s="6">
        <v>431.49</v>
      </c>
      <c r="P102" s="7">
        <f t="shared" si="44"/>
        <v>-0.11943477605973019</v>
      </c>
      <c r="Q102" s="6">
        <f t="shared" si="45"/>
        <v>58.524808976000031</v>
      </c>
      <c r="R102" s="6">
        <v>506.87472897600003</v>
      </c>
      <c r="S102" s="6">
        <v>431.47</v>
      </c>
      <c r="T102" s="7">
        <f t="shared" si="46"/>
        <v>-0.14876403313365882</v>
      </c>
      <c r="U102" s="6">
        <f t="shared" si="47"/>
        <v>75.404728976000001</v>
      </c>
      <c r="V102" s="6">
        <v>506.87472897600003</v>
      </c>
      <c r="W102" s="6">
        <v>431.45</v>
      </c>
      <c r="X102" s="7">
        <f t="shared" si="48"/>
        <v>-0.14880349061468268</v>
      </c>
      <c r="Y102" s="6">
        <f t="shared" si="49"/>
        <v>75.42472897600004</v>
      </c>
      <c r="Z102" s="6">
        <v>527.72702452008002</v>
      </c>
      <c r="AA102" s="6">
        <v>936.03</v>
      </c>
      <c r="AB102" s="7">
        <f t="shared" si="50"/>
        <v>0.77370109262688325</v>
      </c>
      <c r="AC102" s="6">
        <f t="shared" si="51"/>
        <v>-408.30297547991995</v>
      </c>
      <c r="AD102" s="6">
        <f t="shared" si="52"/>
        <v>2475.3245804240805</v>
      </c>
      <c r="AE102" s="6">
        <f t="shared" si="53"/>
        <v>2661.92</v>
      </c>
      <c r="AF102" s="7">
        <f t="shared" si="54"/>
        <v>7.5382202823660149E-2</v>
      </c>
      <c r="AG102" s="6">
        <f t="shared" si="55"/>
        <v>-186.59541957591955</v>
      </c>
      <c r="AI102" s="5"/>
    </row>
    <row r="103" spans="1:35" ht="14" x14ac:dyDescent="0.2">
      <c r="A103" s="8"/>
      <c r="B103" s="1"/>
      <c r="C103" s="87">
        <v>1159</v>
      </c>
      <c r="D103" s="87" t="s">
        <v>14</v>
      </c>
      <c r="E103" s="87">
        <v>1160</v>
      </c>
      <c r="F103" s="87" t="s">
        <v>13</v>
      </c>
      <c r="G103" s="87" t="s">
        <v>1</v>
      </c>
      <c r="H103" s="87" t="s">
        <v>3</v>
      </c>
      <c r="I103" s="89" t="s">
        <v>20</v>
      </c>
      <c r="J103" s="6">
        <v>504.35601020000001</v>
      </c>
      <c r="K103" s="6">
        <v>0</v>
      </c>
      <c r="L103" s="7">
        <f t="shared" si="42"/>
        <v>-1</v>
      </c>
      <c r="M103" s="6">
        <f t="shared" si="43"/>
        <v>504.35601020000001</v>
      </c>
      <c r="N103" s="6">
        <v>556.83501019999994</v>
      </c>
      <c r="O103" s="6">
        <v>0</v>
      </c>
      <c r="P103" s="7">
        <f t="shared" si="44"/>
        <v>-1</v>
      </c>
      <c r="Q103" s="6">
        <f t="shared" si="45"/>
        <v>556.83501019999994</v>
      </c>
      <c r="R103" s="6">
        <v>575.99401019999993</v>
      </c>
      <c r="S103" s="6">
        <v>0</v>
      </c>
      <c r="T103" s="7">
        <f t="shared" si="46"/>
        <v>-1</v>
      </c>
      <c r="U103" s="6">
        <f t="shared" si="47"/>
        <v>575.99401019999993</v>
      </c>
      <c r="V103" s="6">
        <v>575.99401019999993</v>
      </c>
      <c r="W103" s="6">
        <v>0</v>
      </c>
      <c r="X103" s="7">
        <f t="shared" si="48"/>
        <v>-1</v>
      </c>
      <c r="Y103" s="6">
        <f t="shared" si="49"/>
        <v>575.99401019999993</v>
      </c>
      <c r="Z103" s="6">
        <v>599.68980059099999</v>
      </c>
      <c r="AA103" s="6">
        <v>0</v>
      </c>
      <c r="AB103" s="7">
        <f t="shared" si="50"/>
        <v>-1</v>
      </c>
      <c r="AC103" s="6">
        <f t="shared" si="51"/>
        <v>599.68980059099999</v>
      </c>
      <c r="AD103" s="6">
        <f t="shared" si="52"/>
        <v>2812.8688413910004</v>
      </c>
      <c r="AE103" s="6">
        <f t="shared" si="53"/>
        <v>0</v>
      </c>
      <c r="AF103" s="7">
        <f t="shared" si="54"/>
        <v>-1</v>
      </c>
      <c r="AG103" s="6">
        <f t="shared" si="55"/>
        <v>2812.8688413910004</v>
      </c>
      <c r="AI103" s="5"/>
    </row>
    <row r="104" spans="1:35" ht="14" x14ac:dyDescent="0.2">
      <c r="A104" s="8"/>
      <c r="B104" s="1"/>
      <c r="C104" s="87">
        <v>1159</v>
      </c>
      <c r="D104" s="87" t="s">
        <v>14</v>
      </c>
      <c r="E104" s="87">
        <v>1160</v>
      </c>
      <c r="F104" s="87" t="s">
        <v>13</v>
      </c>
      <c r="G104" s="87" t="s">
        <v>1</v>
      </c>
      <c r="H104" s="87" t="s">
        <v>3</v>
      </c>
      <c r="I104" s="89" t="s">
        <v>19</v>
      </c>
      <c r="J104" s="6">
        <v>6054.6940000000004</v>
      </c>
      <c r="K104" s="6">
        <v>0</v>
      </c>
      <c r="L104" s="7">
        <f t="shared" si="42"/>
        <v>-1</v>
      </c>
      <c r="M104" s="6">
        <f t="shared" si="43"/>
        <v>6054.6940000000004</v>
      </c>
      <c r="N104" s="6">
        <v>6684.6939999999995</v>
      </c>
      <c r="O104" s="6">
        <v>6054.69</v>
      </c>
      <c r="P104" s="7">
        <f t="shared" si="44"/>
        <v>-9.4245750067243117E-2</v>
      </c>
      <c r="Q104" s="6">
        <f t="shared" si="45"/>
        <v>630.00399999999991</v>
      </c>
      <c r="R104" s="6">
        <v>6914.6939999999995</v>
      </c>
      <c r="S104" s="6">
        <v>0</v>
      </c>
      <c r="T104" s="7">
        <f t="shared" si="46"/>
        <v>-1</v>
      </c>
      <c r="U104" s="6">
        <f t="shared" si="47"/>
        <v>6914.6939999999995</v>
      </c>
      <c r="V104" s="6">
        <v>6914.6939999999995</v>
      </c>
      <c r="W104" s="6">
        <v>0</v>
      </c>
      <c r="X104" s="7">
        <f t="shared" si="48"/>
        <v>-1</v>
      </c>
      <c r="Y104" s="6">
        <f t="shared" si="49"/>
        <v>6914.6939999999995</v>
      </c>
      <c r="Z104" s="6">
        <v>7199.1572699999997</v>
      </c>
      <c r="AA104" s="6">
        <v>0</v>
      </c>
      <c r="AB104" s="7">
        <f t="shared" si="50"/>
        <v>-1</v>
      </c>
      <c r="AC104" s="6">
        <f t="shared" si="51"/>
        <v>7199.1572699999997</v>
      </c>
      <c r="AD104" s="6">
        <f t="shared" si="52"/>
        <v>33767.933269999994</v>
      </c>
      <c r="AE104" s="6">
        <f t="shared" si="53"/>
        <v>6054.69</v>
      </c>
      <c r="AF104" s="7">
        <f t="shared" si="54"/>
        <v>-0.82069705150184336</v>
      </c>
      <c r="AG104" s="6">
        <f t="shared" si="55"/>
        <v>27713.243269999995</v>
      </c>
      <c r="AI104" s="5"/>
    </row>
    <row r="105" spans="1:35" ht="14" x14ac:dyDescent="0.2">
      <c r="A105" s="8"/>
      <c r="B105" s="1"/>
      <c r="C105" s="87">
        <v>1159</v>
      </c>
      <c r="D105" s="87" t="s">
        <v>14</v>
      </c>
      <c r="E105" s="87">
        <v>1160</v>
      </c>
      <c r="F105" s="87" t="s">
        <v>13</v>
      </c>
      <c r="G105" s="87" t="s">
        <v>1</v>
      </c>
      <c r="H105" s="87" t="s">
        <v>3</v>
      </c>
      <c r="I105" s="89" t="s">
        <v>18</v>
      </c>
      <c r="J105" s="6">
        <v>59431.319999999992</v>
      </c>
      <c r="K105" s="6">
        <v>53353.34</v>
      </c>
      <c r="L105" s="7">
        <f t="shared" si="42"/>
        <v>-0.10226897198312268</v>
      </c>
      <c r="M105" s="6">
        <f t="shared" si="43"/>
        <v>6077.9799999999959</v>
      </c>
      <c r="N105" s="6">
        <v>65474.28</v>
      </c>
      <c r="O105" s="6">
        <v>59436.160000000003</v>
      </c>
      <c r="P105" s="7">
        <f t="shared" si="44"/>
        <v>-9.2221250848424696E-2</v>
      </c>
      <c r="Q105" s="6">
        <f t="shared" si="45"/>
        <v>6038.1199999999953</v>
      </c>
      <c r="R105" s="6">
        <v>67636.28</v>
      </c>
      <c r="S105" s="6">
        <v>55602.7</v>
      </c>
      <c r="T105" s="7">
        <f t="shared" si="46"/>
        <v>-0.17791605333705518</v>
      </c>
      <c r="U105" s="6">
        <f t="shared" si="47"/>
        <v>12033.580000000002</v>
      </c>
      <c r="V105" s="6">
        <v>67636.28</v>
      </c>
      <c r="W105" s="6">
        <v>56778.85</v>
      </c>
      <c r="X105" s="7">
        <f t="shared" si="48"/>
        <v>-0.16052671731798374</v>
      </c>
      <c r="Y105" s="6">
        <f t="shared" si="49"/>
        <v>10857.43</v>
      </c>
      <c r="Z105" s="6">
        <v>70471.816699999996</v>
      </c>
      <c r="AA105" s="6">
        <v>46485.87</v>
      </c>
      <c r="AB105" s="7">
        <f t="shared" si="50"/>
        <v>-0.34036225860486435</v>
      </c>
      <c r="AC105" s="6">
        <f t="shared" si="51"/>
        <v>23985.946699999993</v>
      </c>
      <c r="AD105" s="6">
        <f t="shared" si="52"/>
        <v>330649.9767</v>
      </c>
      <c r="AE105" s="6">
        <f t="shared" si="53"/>
        <v>271656.92000000004</v>
      </c>
      <c r="AF105" s="7">
        <f t="shared" si="54"/>
        <v>-0.17841542675662903</v>
      </c>
      <c r="AG105" s="6">
        <f t="shared" si="55"/>
        <v>58993.056699999957</v>
      </c>
      <c r="AI105" s="5"/>
    </row>
    <row r="106" spans="1:35" ht="14" x14ac:dyDescent="0.2">
      <c r="A106" s="8"/>
      <c r="B106" s="1"/>
      <c r="C106" s="87">
        <v>1159</v>
      </c>
      <c r="D106" s="87" t="s">
        <v>14</v>
      </c>
      <c r="E106" s="87">
        <v>1160</v>
      </c>
      <c r="F106" s="87" t="s">
        <v>13</v>
      </c>
      <c r="G106" s="87" t="s">
        <v>1</v>
      </c>
      <c r="H106" s="87" t="s">
        <v>3</v>
      </c>
      <c r="I106" s="89" t="s">
        <v>17</v>
      </c>
      <c r="J106" s="6">
        <v>157.68</v>
      </c>
      <c r="K106" s="6">
        <v>157.68</v>
      </c>
      <c r="L106" s="7">
        <f t="shared" si="42"/>
        <v>0</v>
      </c>
      <c r="M106" s="6">
        <f t="shared" si="43"/>
        <v>0</v>
      </c>
      <c r="N106" s="6">
        <v>175.20000000000002</v>
      </c>
      <c r="O106" s="6">
        <v>157.68</v>
      </c>
      <c r="P106" s="7">
        <f t="shared" si="44"/>
        <v>-0.10000000000000009</v>
      </c>
      <c r="Q106" s="6">
        <f t="shared" si="45"/>
        <v>17.52000000000001</v>
      </c>
      <c r="R106" s="6">
        <v>192.72000000000003</v>
      </c>
      <c r="S106" s="6">
        <v>157.68</v>
      </c>
      <c r="T106" s="7">
        <f t="shared" si="46"/>
        <v>-0.18181818181818188</v>
      </c>
      <c r="U106" s="6">
        <f t="shared" si="47"/>
        <v>35.04000000000002</v>
      </c>
      <c r="V106" s="6">
        <v>192.72000000000003</v>
      </c>
      <c r="W106" s="6">
        <v>157.68</v>
      </c>
      <c r="X106" s="7">
        <f t="shared" si="48"/>
        <v>-0.18181818181818188</v>
      </c>
      <c r="Y106" s="6">
        <f t="shared" si="49"/>
        <v>35.04000000000002</v>
      </c>
      <c r="Z106" s="6">
        <v>211.99199999999999</v>
      </c>
      <c r="AA106" s="6">
        <v>157.68</v>
      </c>
      <c r="AB106" s="7">
        <f t="shared" si="50"/>
        <v>-0.25619834710743794</v>
      </c>
      <c r="AC106" s="6">
        <f t="shared" si="51"/>
        <v>54.311999999999983</v>
      </c>
      <c r="AD106" s="6">
        <f t="shared" si="52"/>
        <v>930.31200000000001</v>
      </c>
      <c r="AE106" s="6">
        <f t="shared" si="53"/>
        <v>788.40000000000009</v>
      </c>
      <c r="AF106" s="7">
        <f t="shared" si="54"/>
        <v>-0.15254237288135586</v>
      </c>
      <c r="AG106" s="6">
        <f t="shared" si="55"/>
        <v>141.91199999999992</v>
      </c>
      <c r="AI106" s="5"/>
    </row>
    <row r="107" spans="1:35" ht="14" x14ac:dyDescent="0.2">
      <c r="A107" s="8"/>
      <c r="B107" s="1"/>
      <c r="C107" s="87">
        <v>1159</v>
      </c>
      <c r="D107" s="87" t="s">
        <v>14</v>
      </c>
      <c r="E107" s="87">
        <v>1160</v>
      </c>
      <c r="F107" s="87" t="s">
        <v>13</v>
      </c>
      <c r="G107" s="87" t="s">
        <v>1</v>
      </c>
      <c r="H107" s="87" t="s">
        <v>3</v>
      </c>
      <c r="I107" s="89" t="s">
        <v>12</v>
      </c>
      <c r="J107" s="6">
        <v>7560</v>
      </c>
      <c r="K107" s="6">
        <v>14355</v>
      </c>
      <c r="L107" s="7">
        <f t="shared" si="42"/>
        <v>0.89880952380952372</v>
      </c>
      <c r="M107" s="6">
        <f t="shared" si="43"/>
        <v>-6795</v>
      </c>
      <c r="N107" s="6">
        <v>8400</v>
      </c>
      <c r="O107" s="6">
        <v>7960</v>
      </c>
      <c r="P107" s="7">
        <f t="shared" si="44"/>
        <v>-5.2380952380952417E-2</v>
      </c>
      <c r="Q107" s="6">
        <f t="shared" si="45"/>
        <v>440</v>
      </c>
      <c r="R107" s="6">
        <v>9240</v>
      </c>
      <c r="S107" s="6">
        <v>6700</v>
      </c>
      <c r="T107" s="7">
        <f t="shared" si="46"/>
        <v>-0.27489177489177485</v>
      </c>
      <c r="U107" s="6">
        <f t="shared" si="47"/>
        <v>2540</v>
      </c>
      <c r="V107" s="6">
        <v>9240</v>
      </c>
      <c r="W107" s="6">
        <v>7800</v>
      </c>
      <c r="X107" s="7">
        <f t="shared" si="48"/>
        <v>-0.1558441558441559</v>
      </c>
      <c r="Y107" s="6">
        <f t="shared" si="49"/>
        <v>1440</v>
      </c>
      <c r="Z107" s="6">
        <v>9655.7999999999993</v>
      </c>
      <c r="AA107" s="6">
        <v>6585</v>
      </c>
      <c r="AB107" s="7">
        <f t="shared" si="50"/>
        <v>-0.31802647113651894</v>
      </c>
      <c r="AC107" s="6">
        <f t="shared" si="51"/>
        <v>3070.7999999999993</v>
      </c>
      <c r="AD107" s="6">
        <f t="shared" si="52"/>
        <v>44095.8</v>
      </c>
      <c r="AE107" s="6">
        <f t="shared" si="53"/>
        <v>43400</v>
      </c>
      <c r="AF107" s="7">
        <f t="shared" si="54"/>
        <v>-1.5779280566403209E-2</v>
      </c>
      <c r="AG107" s="6">
        <f t="shared" si="55"/>
        <v>695.80000000000291</v>
      </c>
      <c r="AI107" s="5"/>
    </row>
    <row r="108" spans="1:35" ht="14" x14ac:dyDescent="0.2">
      <c r="A108" s="8"/>
      <c r="B108" s="1"/>
      <c r="C108" s="87">
        <v>1159</v>
      </c>
      <c r="D108" s="87" t="s">
        <v>14</v>
      </c>
      <c r="E108" s="87">
        <v>1160</v>
      </c>
      <c r="F108" s="87" t="s">
        <v>13</v>
      </c>
      <c r="G108" s="87" t="s">
        <v>1</v>
      </c>
      <c r="H108" s="87" t="s">
        <v>3</v>
      </c>
      <c r="I108" s="89" t="s">
        <v>16</v>
      </c>
      <c r="J108" s="6">
        <v>0</v>
      </c>
      <c r="K108" s="6">
        <v>0</v>
      </c>
      <c r="L108" s="7">
        <f t="shared" si="42"/>
        <v>-1</v>
      </c>
      <c r="M108" s="6">
        <f t="shared" si="43"/>
        <v>0</v>
      </c>
      <c r="N108" s="6">
        <v>257.04000000000002</v>
      </c>
      <c r="O108" s="6">
        <v>0</v>
      </c>
      <c r="P108" s="7">
        <f t="shared" si="44"/>
        <v>-1</v>
      </c>
      <c r="Q108" s="6">
        <f t="shared" si="45"/>
        <v>257.04000000000002</v>
      </c>
      <c r="R108" s="6">
        <v>514.08000000000004</v>
      </c>
      <c r="S108" s="6">
        <v>0</v>
      </c>
      <c r="T108" s="7">
        <f t="shared" si="46"/>
        <v>-1</v>
      </c>
      <c r="U108" s="6">
        <f t="shared" si="47"/>
        <v>514.08000000000004</v>
      </c>
      <c r="V108" s="6">
        <v>514.08000000000004</v>
      </c>
      <c r="W108" s="6">
        <v>0</v>
      </c>
      <c r="X108" s="7">
        <f t="shared" si="48"/>
        <v>-1</v>
      </c>
      <c r="Y108" s="6">
        <f t="shared" si="49"/>
        <v>514.08000000000004</v>
      </c>
      <c r="Z108" s="6">
        <v>514.08000000000004</v>
      </c>
      <c r="AA108" s="6">
        <v>0</v>
      </c>
      <c r="AB108" s="7">
        <f t="shared" si="50"/>
        <v>-1</v>
      </c>
      <c r="AC108" s="6">
        <f t="shared" si="51"/>
        <v>514.08000000000004</v>
      </c>
      <c r="AD108" s="6">
        <f t="shared" si="52"/>
        <v>1799.2800000000002</v>
      </c>
      <c r="AE108" s="6">
        <f t="shared" si="53"/>
        <v>0</v>
      </c>
      <c r="AF108" s="7">
        <f t="shared" si="54"/>
        <v>-1</v>
      </c>
      <c r="AG108" s="6">
        <f t="shared" si="55"/>
        <v>1799.2800000000002</v>
      </c>
      <c r="AI108" s="5"/>
    </row>
    <row r="109" spans="1:35" x14ac:dyDescent="0.2">
      <c r="A109" s="8"/>
      <c r="C109" s="87">
        <v>1159</v>
      </c>
      <c r="D109" s="87" t="s">
        <v>14</v>
      </c>
      <c r="E109" s="87">
        <v>1150</v>
      </c>
      <c r="F109" s="87" t="s">
        <v>15</v>
      </c>
      <c r="G109" s="87" t="s">
        <v>1</v>
      </c>
      <c r="H109" s="87" t="s">
        <v>3</v>
      </c>
      <c r="I109" s="89" t="s">
        <v>10</v>
      </c>
      <c r="J109" s="6">
        <v>0</v>
      </c>
      <c r="K109" s="6">
        <v>7976.39</v>
      </c>
      <c r="L109" s="7">
        <f t="shared" ref="L109:L132" si="56">IFERROR(K109/J109*1,"0%")-1</f>
        <v>-1</v>
      </c>
      <c r="M109" s="6">
        <f t="shared" ref="M109:M132" si="57">J109-K109</f>
        <v>-7976.39</v>
      </c>
      <c r="N109" s="6">
        <v>0</v>
      </c>
      <c r="O109" s="6">
        <v>5278.1</v>
      </c>
      <c r="P109" s="7">
        <f t="shared" ref="P109:P132" si="58">IFERROR(O109/N109*1,"0%")-1</f>
        <v>-1</v>
      </c>
      <c r="Q109" s="6">
        <f t="shared" ref="Q109:Q132" si="59">N109-O109</f>
        <v>-5278.1</v>
      </c>
      <c r="R109" s="6">
        <v>0</v>
      </c>
      <c r="S109" s="6">
        <v>-43850.09</v>
      </c>
      <c r="T109" s="7">
        <f t="shared" ref="T109:T132" si="60">IFERROR(S109/R109*1,"0%")-1</f>
        <v>-1</v>
      </c>
      <c r="U109" s="6">
        <f t="shared" ref="U109:U132" si="61">R109-S109</f>
        <v>43850.09</v>
      </c>
      <c r="V109" s="6">
        <v>0</v>
      </c>
      <c r="W109" s="6">
        <v>10118.66</v>
      </c>
      <c r="X109" s="7">
        <f t="shared" ref="X109:X132" si="62">IFERROR(W109/V109*1,"0%")-1</f>
        <v>-1</v>
      </c>
      <c r="Y109" s="6">
        <f t="shared" ref="Y109:Y132" si="63">V109-W109</f>
        <v>-10118.66</v>
      </c>
      <c r="Z109" s="6">
        <v>0</v>
      </c>
      <c r="AA109" s="6">
        <v>7664.94</v>
      </c>
      <c r="AB109" s="7">
        <f t="shared" ref="AB109:AB132" si="64">IFERROR(AA109/Z109*1,"0%")-1</f>
        <v>-1</v>
      </c>
      <c r="AC109" s="6">
        <f t="shared" ref="AC109:AC132" si="65">Z109-AA109</f>
        <v>-7664.94</v>
      </c>
      <c r="AD109" s="6">
        <f t="shared" ref="AD109:AD132" si="66">J109+N109+R109+V109+Z109</f>
        <v>0</v>
      </c>
      <c r="AE109" s="6">
        <f t="shared" ref="AE109:AE132" si="67">K109+O109+S109+W109+AA109</f>
        <v>-12811.999999999996</v>
      </c>
      <c r="AF109" s="7">
        <f t="shared" ref="AF109:AF132" si="68">IFERROR(AE109/AD109*1,"0%")-1</f>
        <v>-1</v>
      </c>
      <c r="AG109" s="6">
        <f t="shared" ref="AG109:AG132" si="69">AD109-AE109</f>
        <v>12811.999999999996</v>
      </c>
      <c r="AI109" s="5"/>
    </row>
    <row r="110" spans="1:35" x14ac:dyDescent="0.2">
      <c r="A110" s="8"/>
      <c r="C110" s="87">
        <v>1159</v>
      </c>
      <c r="D110" s="87" t="s">
        <v>14</v>
      </c>
      <c r="E110" s="87">
        <v>1150</v>
      </c>
      <c r="F110" s="87" t="s">
        <v>15</v>
      </c>
      <c r="G110" s="87" t="s">
        <v>1</v>
      </c>
      <c r="H110" s="87" t="s">
        <v>3</v>
      </c>
      <c r="I110" s="89" t="s">
        <v>9</v>
      </c>
      <c r="J110" s="6">
        <v>0</v>
      </c>
      <c r="K110" s="6">
        <v>836.64</v>
      </c>
      <c r="L110" s="7">
        <f t="shared" si="56"/>
        <v>-1</v>
      </c>
      <c r="M110" s="6">
        <f t="shared" si="57"/>
        <v>-836.64</v>
      </c>
      <c r="N110" s="6">
        <v>0</v>
      </c>
      <c r="O110" s="6">
        <v>451.36</v>
      </c>
      <c r="P110" s="7">
        <f t="shared" si="58"/>
        <v>-1</v>
      </c>
      <c r="Q110" s="6">
        <f t="shared" si="59"/>
        <v>-451.36</v>
      </c>
      <c r="R110" s="6">
        <v>0</v>
      </c>
      <c r="S110" s="6">
        <v>784.83</v>
      </c>
      <c r="T110" s="7">
        <f t="shared" si="60"/>
        <v>-1</v>
      </c>
      <c r="U110" s="6">
        <f t="shared" si="61"/>
        <v>-784.83</v>
      </c>
      <c r="V110" s="6">
        <v>0</v>
      </c>
      <c r="W110" s="6">
        <v>865.3</v>
      </c>
      <c r="X110" s="7">
        <f t="shared" si="62"/>
        <v>-1</v>
      </c>
      <c r="Y110" s="6">
        <f t="shared" si="63"/>
        <v>-865.3</v>
      </c>
      <c r="Z110" s="6">
        <v>0</v>
      </c>
      <c r="AA110" s="6">
        <v>1421.97</v>
      </c>
      <c r="AB110" s="7">
        <f t="shared" si="64"/>
        <v>-1</v>
      </c>
      <c r="AC110" s="6">
        <f t="shared" si="65"/>
        <v>-1421.97</v>
      </c>
      <c r="AD110" s="6">
        <f t="shared" si="66"/>
        <v>0</v>
      </c>
      <c r="AE110" s="6">
        <f t="shared" si="67"/>
        <v>4360.1000000000004</v>
      </c>
      <c r="AF110" s="7">
        <f t="shared" si="68"/>
        <v>-1</v>
      </c>
      <c r="AG110" s="6">
        <f t="shared" si="69"/>
        <v>-4360.1000000000004</v>
      </c>
      <c r="AI110" s="5"/>
    </row>
    <row r="111" spans="1:35" x14ac:dyDescent="0.2">
      <c r="A111" s="8"/>
      <c r="C111" s="87">
        <v>1159</v>
      </c>
      <c r="D111" s="87" t="s">
        <v>14</v>
      </c>
      <c r="E111" s="87">
        <v>1150</v>
      </c>
      <c r="F111" s="87" t="s">
        <v>15</v>
      </c>
      <c r="G111" s="87" t="s">
        <v>1</v>
      </c>
      <c r="H111" s="87" t="s">
        <v>3</v>
      </c>
      <c r="I111" s="89" t="s">
        <v>8</v>
      </c>
      <c r="J111" s="6">
        <v>0</v>
      </c>
      <c r="K111" s="6">
        <v>0</v>
      </c>
      <c r="L111" s="7">
        <f t="shared" si="56"/>
        <v>-1</v>
      </c>
      <c r="M111" s="6">
        <f t="shared" si="57"/>
        <v>0</v>
      </c>
      <c r="N111" s="6">
        <v>0</v>
      </c>
      <c r="O111" s="6">
        <v>0</v>
      </c>
      <c r="P111" s="7">
        <f t="shared" si="58"/>
        <v>-1</v>
      </c>
      <c r="Q111" s="6">
        <f t="shared" si="59"/>
        <v>0</v>
      </c>
      <c r="R111" s="6">
        <v>0</v>
      </c>
      <c r="S111" s="6">
        <v>0</v>
      </c>
      <c r="T111" s="7">
        <f t="shared" si="60"/>
        <v>-1</v>
      </c>
      <c r="U111" s="6">
        <f t="shared" si="61"/>
        <v>0</v>
      </c>
      <c r="V111" s="6">
        <v>0</v>
      </c>
      <c r="W111" s="6">
        <v>0</v>
      </c>
      <c r="X111" s="7">
        <f t="shared" si="62"/>
        <v>-1</v>
      </c>
      <c r="Y111" s="6">
        <f t="shared" si="63"/>
        <v>0</v>
      </c>
      <c r="Z111" s="6">
        <v>0</v>
      </c>
      <c r="AA111" s="6">
        <v>0</v>
      </c>
      <c r="AB111" s="7">
        <f t="shared" si="64"/>
        <v>-1</v>
      </c>
      <c r="AC111" s="6">
        <f t="shared" si="65"/>
        <v>0</v>
      </c>
      <c r="AD111" s="6">
        <f t="shared" si="66"/>
        <v>0</v>
      </c>
      <c r="AE111" s="6">
        <f t="shared" si="67"/>
        <v>0</v>
      </c>
      <c r="AF111" s="7">
        <f t="shared" si="68"/>
        <v>-1</v>
      </c>
      <c r="AG111" s="6">
        <f t="shared" si="69"/>
        <v>0</v>
      </c>
      <c r="AI111" s="5"/>
    </row>
    <row r="112" spans="1:35" x14ac:dyDescent="0.2">
      <c r="A112" s="8"/>
      <c r="C112" s="87">
        <v>1159</v>
      </c>
      <c r="D112" s="87" t="s">
        <v>14</v>
      </c>
      <c r="E112" s="87">
        <v>1150</v>
      </c>
      <c r="F112" s="87" t="s">
        <v>15</v>
      </c>
      <c r="G112" s="87" t="s">
        <v>1</v>
      </c>
      <c r="H112" s="87" t="s">
        <v>3</v>
      </c>
      <c r="I112" s="89" t="s">
        <v>7</v>
      </c>
      <c r="J112" s="6">
        <v>0</v>
      </c>
      <c r="K112" s="6">
        <v>638.1</v>
      </c>
      <c r="L112" s="7">
        <f t="shared" si="56"/>
        <v>-1</v>
      </c>
      <c r="M112" s="6">
        <f t="shared" si="57"/>
        <v>-638.1</v>
      </c>
      <c r="N112" s="6">
        <v>0</v>
      </c>
      <c r="O112" s="6">
        <v>422.26</v>
      </c>
      <c r="P112" s="7">
        <f t="shared" si="58"/>
        <v>-1</v>
      </c>
      <c r="Q112" s="6">
        <f t="shared" si="59"/>
        <v>-422.26</v>
      </c>
      <c r="R112" s="6">
        <v>0</v>
      </c>
      <c r="S112" s="6">
        <v>734.21</v>
      </c>
      <c r="T112" s="7">
        <f t="shared" si="60"/>
        <v>-1</v>
      </c>
      <c r="U112" s="6">
        <f t="shared" si="61"/>
        <v>-734.21</v>
      </c>
      <c r="V112" s="6">
        <v>0</v>
      </c>
      <c r="W112" s="6">
        <v>809.51</v>
      </c>
      <c r="X112" s="7">
        <f t="shared" si="62"/>
        <v>-1</v>
      </c>
      <c r="Y112" s="6">
        <f t="shared" si="63"/>
        <v>-809.51</v>
      </c>
      <c r="Z112" s="6">
        <v>0</v>
      </c>
      <c r="AA112" s="6">
        <v>613.19000000000005</v>
      </c>
      <c r="AB112" s="7">
        <f t="shared" si="64"/>
        <v>-1</v>
      </c>
      <c r="AC112" s="6">
        <f t="shared" si="65"/>
        <v>-613.19000000000005</v>
      </c>
      <c r="AD112" s="6">
        <f t="shared" si="66"/>
        <v>0</v>
      </c>
      <c r="AE112" s="6">
        <f t="shared" si="67"/>
        <v>3217.27</v>
      </c>
      <c r="AF112" s="7">
        <f t="shared" si="68"/>
        <v>-1</v>
      </c>
      <c r="AG112" s="6">
        <f t="shared" si="69"/>
        <v>-3217.27</v>
      </c>
      <c r="AI112" s="5"/>
    </row>
    <row r="113" spans="1:35" x14ac:dyDescent="0.2">
      <c r="A113" s="8"/>
      <c r="C113" s="87">
        <v>1159</v>
      </c>
      <c r="D113" s="87" t="s">
        <v>14</v>
      </c>
      <c r="E113" s="87">
        <v>1150</v>
      </c>
      <c r="F113" s="87" t="s">
        <v>15</v>
      </c>
      <c r="G113" s="87" t="s">
        <v>1</v>
      </c>
      <c r="H113" s="87" t="s">
        <v>3</v>
      </c>
      <c r="I113" s="89" t="s">
        <v>6</v>
      </c>
      <c r="J113" s="6">
        <v>0</v>
      </c>
      <c r="K113" s="6">
        <v>0</v>
      </c>
      <c r="L113" s="7">
        <f t="shared" si="56"/>
        <v>-1</v>
      </c>
      <c r="M113" s="6">
        <f t="shared" si="57"/>
        <v>0</v>
      </c>
      <c r="N113" s="6">
        <v>0</v>
      </c>
      <c r="O113" s="6">
        <v>0</v>
      </c>
      <c r="P113" s="7">
        <f t="shared" si="58"/>
        <v>-1</v>
      </c>
      <c r="Q113" s="6">
        <f t="shared" si="59"/>
        <v>0</v>
      </c>
      <c r="R113" s="6">
        <v>0</v>
      </c>
      <c r="S113" s="6">
        <v>0</v>
      </c>
      <c r="T113" s="7">
        <f t="shared" si="60"/>
        <v>-1</v>
      </c>
      <c r="U113" s="6">
        <f t="shared" si="61"/>
        <v>0</v>
      </c>
      <c r="V113" s="6">
        <v>0</v>
      </c>
      <c r="W113" s="6">
        <v>0</v>
      </c>
      <c r="X113" s="7">
        <f t="shared" si="62"/>
        <v>-1</v>
      </c>
      <c r="Y113" s="6">
        <f t="shared" si="63"/>
        <v>0</v>
      </c>
      <c r="Z113" s="6">
        <v>0</v>
      </c>
      <c r="AA113" s="6">
        <v>0</v>
      </c>
      <c r="AB113" s="7">
        <f t="shared" si="64"/>
        <v>-1</v>
      </c>
      <c r="AC113" s="6">
        <f t="shared" si="65"/>
        <v>0</v>
      </c>
      <c r="AD113" s="6">
        <f t="shared" si="66"/>
        <v>0</v>
      </c>
      <c r="AE113" s="6">
        <f t="shared" si="67"/>
        <v>0</v>
      </c>
      <c r="AF113" s="7">
        <f t="shared" si="68"/>
        <v>-1</v>
      </c>
      <c r="AG113" s="6">
        <f t="shared" si="69"/>
        <v>0</v>
      </c>
      <c r="AI113" s="5"/>
    </row>
    <row r="114" spans="1:35" x14ac:dyDescent="0.2">
      <c r="A114" s="8"/>
      <c r="C114" s="87">
        <v>1159</v>
      </c>
      <c r="D114" s="87" t="s">
        <v>14</v>
      </c>
      <c r="E114" s="87">
        <v>1150</v>
      </c>
      <c r="F114" s="87" t="s">
        <v>15</v>
      </c>
      <c r="G114" s="87" t="s">
        <v>1</v>
      </c>
      <c r="H114" s="87" t="s">
        <v>3</v>
      </c>
      <c r="I114" s="89" t="s">
        <v>5</v>
      </c>
      <c r="J114" s="6">
        <v>0</v>
      </c>
      <c r="K114" s="6">
        <v>0</v>
      </c>
      <c r="L114" s="7">
        <f t="shared" si="56"/>
        <v>-1</v>
      </c>
      <c r="M114" s="6">
        <f t="shared" si="57"/>
        <v>0</v>
      </c>
      <c r="N114" s="6">
        <v>0</v>
      </c>
      <c r="O114" s="6">
        <v>0</v>
      </c>
      <c r="P114" s="7">
        <f t="shared" si="58"/>
        <v>-1</v>
      </c>
      <c r="Q114" s="6">
        <f t="shared" si="59"/>
        <v>0</v>
      </c>
      <c r="R114" s="6">
        <v>0</v>
      </c>
      <c r="S114" s="6">
        <v>0</v>
      </c>
      <c r="T114" s="7">
        <f t="shared" si="60"/>
        <v>-1</v>
      </c>
      <c r="U114" s="6">
        <f t="shared" si="61"/>
        <v>0</v>
      </c>
      <c r="V114" s="6">
        <v>0</v>
      </c>
      <c r="W114" s="6">
        <v>0</v>
      </c>
      <c r="X114" s="7">
        <f t="shared" si="62"/>
        <v>-1</v>
      </c>
      <c r="Y114" s="6">
        <f t="shared" si="63"/>
        <v>0</v>
      </c>
      <c r="Z114" s="6">
        <v>0</v>
      </c>
      <c r="AA114" s="6">
        <v>0</v>
      </c>
      <c r="AB114" s="7">
        <f t="shared" si="64"/>
        <v>-1</v>
      </c>
      <c r="AC114" s="6">
        <f t="shared" si="65"/>
        <v>0</v>
      </c>
      <c r="AD114" s="6">
        <f t="shared" si="66"/>
        <v>0</v>
      </c>
      <c r="AE114" s="6">
        <f t="shared" si="67"/>
        <v>0</v>
      </c>
      <c r="AF114" s="7">
        <f t="shared" si="68"/>
        <v>-1</v>
      </c>
      <c r="AG114" s="6">
        <f t="shared" si="69"/>
        <v>0</v>
      </c>
      <c r="AI114" s="5"/>
    </row>
    <row r="115" spans="1:35" x14ac:dyDescent="0.2">
      <c r="A115" s="8"/>
      <c r="C115" s="87">
        <v>1159</v>
      </c>
      <c r="D115" s="87" t="s">
        <v>14</v>
      </c>
      <c r="E115" s="87">
        <v>1150</v>
      </c>
      <c r="F115" s="87" t="s">
        <v>15</v>
      </c>
      <c r="G115" s="87" t="s">
        <v>1</v>
      </c>
      <c r="H115" s="87" t="s">
        <v>3</v>
      </c>
      <c r="I115" s="89" t="s">
        <v>4</v>
      </c>
      <c r="J115" s="6">
        <v>0</v>
      </c>
      <c r="K115" s="6">
        <v>0</v>
      </c>
      <c r="L115" s="7">
        <f t="shared" si="56"/>
        <v>-1</v>
      </c>
      <c r="M115" s="6">
        <f t="shared" si="57"/>
        <v>0</v>
      </c>
      <c r="N115" s="6">
        <v>0</v>
      </c>
      <c r="O115" s="6">
        <v>0</v>
      </c>
      <c r="P115" s="7">
        <f t="shared" si="58"/>
        <v>-1</v>
      </c>
      <c r="Q115" s="6">
        <f t="shared" si="59"/>
        <v>0</v>
      </c>
      <c r="R115" s="6">
        <v>0</v>
      </c>
      <c r="S115" s="6">
        <v>0</v>
      </c>
      <c r="T115" s="7">
        <f t="shared" si="60"/>
        <v>-1</v>
      </c>
      <c r="U115" s="6">
        <f t="shared" si="61"/>
        <v>0</v>
      </c>
      <c r="V115" s="6">
        <v>0</v>
      </c>
      <c r="W115" s="6">
        <v>0</v>
      </c>
      <c r="X115" s="7">
        <f t="shared" si="62"/>
        <v>-1</v>
      </c>
      <c r="Y115" s="6">
        <f t="shared" si="63"/>
        <v>0</v>
      </c>
      <c r="Z115" s="6">
        <v>0</v>
      </c>
      <c r="AA115" s="6">
        <v>0</v>
      </c>
      <c r="AB115" s="7">
        <f t="shared" si="64"/>
        <v>-1</v>
      </c>
      <c r="AC115" s="6">
        <f t="shared" si="65"/>
        <v>0</v>
      </c>
      <c r="AD115" s="6">
        <f t="shared" si="66"/>
        <v>0</v>
      </c>
      <c r="AE115" s="6">
        <f t="shared" si="67"/>
        <v>0</v>
      </c>
      <c r="AF115" s="7">
        <f t="shared" si="68"/>
        <v>-1</v>
      </c>
      <c r="AG115" s="6">
        <f t="shared" si="69"/>
        <v>0</v>
      </c>
      <c r="AI115" s="5"/>
    </row>
    <row r="116" spans="1:35" x14ac:dyDescent="0.2">
      <c r="A116" s="8"/>
      <c r="C116" s="87">
        <v>1159</v>
      </c>
      <c r="D116" s="87" t="s">
        <v>14</v>
      </c>
      <c r="E116" s="87">
        <v>1150</v>
      </c>
      <c r="F116" s="87" t="s">
        <v>15</v>
      </c>
      <c r="G116" s="87" t="s">
        <v>1</v>
      </c>
      <c r="H116" s="87" t="s">
        <v>3</v>
      </c>
      <c r="I116" s="89" t="s">
        <v>2</v>
      </c>
      <c r="J116" s="6">
        <v>0</v>
      </c>
      <c r="K116" s="6">
        <v>0</v>
      </c>
      <c r="L116" s="7">
        <f t="shared" si="56"/>
        <v>-1</v>
      </c>
      <c r="M116" s="6">
        <f t="shared" si="57"/>
        <v>0</v>
      </c>
      <c r="N116" s="6">
        <v>0</v>
      </c>
      <c r="O116" s="6">
        <v>0</v>
      </c>
      <c r="P116" s="7">
        <f t="shared" si="58"/>
        <v>-1</v>
      </c>
      <c r="Q116" s="6">
        <f t="shared" si="59"/>
        <v>0</v>
      </c>
      <c r="R116" s="6">
        <v>0</v>
      </c>
      <c r="S116" s="6">
        <v>0</v>
      </c>
      <c r="T116" s="7">
        <f t="shared" si="60"/>
        <v>-1</v>
      </c>
      <c r="U116" s="6">
        <f t="shared" si="61"/>
        <v>0</v>
      </c>
      <c r="V116" s="6">
        <v>0</v>
      </c>
      <c r="W116" s="6">
        <v>0</v>
      </c>
      <c r="X116" s="7">
        <f t="shared" si="62"/>
        <v>-1</v>
      </c>
      <c r="Y116" s="6">
        <f t="shared" si="63"/>
        <v>0</v>
      </c>
      <c r="Z116" s="6">
        <v>0</v>
      </c>
      <c r="AA116" s="6">
        <v>0</v>
      </c>
      <c r="AB116" s="7">
        <f t="shared" si="64"/>
        <v>-1</v>
      </c>
      <c r="AC116" s="6">
        <f t="shared" si="65"/>
        <v>0</v>
      </c>
      <c r="AD116" s="6">
        <f t="shared" si="66"/>
        <v>0</v>
      </c>
      <c r="AE116" s="6">
        <f t="shared" si="67"/>
        <v>0</v>
      </c>
      <c r="AF116" s="7">
        <f t="shared" si="68"/>
        <v>-1</v>
      </c>
      <c r="AG116" s="6">
        <f t="shared" si="69"/>
        <v>0</v>
      </c>
      <c r="AI116" s="5"/>
    </row>
    <row r="117" spans="1:35" x14ac:dyDescent="0.2">
      <c r="A117" s="8"/>
      <c r="C117" s="87">
        <v>1159</v>
      </c>
      <c r="D117" s="87" t="s">
        <v>14</v>
      </c>
      <c r="E117" s="87">
        <v>1159</v>
      </c>
      <c r="F117" s="87" t="s">
        <v>14</v>
      </c>
      <c r="G117" s="87" t="s">
        <v>1</v>
      </c>
      <c r="H117" s="87" t="s">
        <v>3</v>
      </c>
      <c r="I117" s="89" t="s">
        <v>10</v>
      </c>
      <c r="J117" s="6">
        <v>0</v>
      </c>
      <c r="K117" s="6">
        <v>6630.07</v>
      </c>
      <c r="L117" s="7">
        <f t="shared" si="56"/>
        <v>-1</v>
      </c>
      <c r="M117" s="6">
        <f t="shared" si="57"/>
        <v>-6630.07</v>
      </c>
      <c r="N117" s="6">
        <v>0</v>
      </c>
      <c r="O117" s="6">
        <v>6630.06</v>
      </c>
      <c r="P117" s="7">
        <f t="shared" si="58"/>
        <v>-1</v>
      </c>
      <c r="Q117" s="6">
        <f t="shared" si="59"/>
        <v>-6630.06</v>
      </c>
      <c r="R117" s="6">
        <v>0</v>
      </c>
      <c r="S117" s="6">
        <v>-5710.23</v>
      </c>
      <c r="T117" s="7">
        <f t="shared" si="60"/>
        <v>-1</v>
      </c>
      <c r="U117" s="6">
        <f t="shared" si="61"/>
        <v>5710.23</v>
      </c>
      <c r="V117" s="6">
        <v>0</v>
      </c>
      <c r="W117" s="6">
        <v>19587.91</v>
      </c>
      <c r="X117" s="7">
        <f t="shared" si="62"/>
        <v>-1</v>
      </c>
      <c r="Y117" s="6">
        <f t="shared" si="63"/>
        <v>-19587.91</v>
      </c>
      <c r="Z117" s="6">
        <v>0</v>
      </c>
      <c r="AA117" s="6">
        <v>7219.05</v>
      </c>
      <c r="AB117" s="7">
        <f t="shared" si="64"/>
        <v>-1</v>
      </c>
      <c r="AC117" s="6">
        <f t="shared" si="65"/>
        <v>-7219.05</v>
      </c>
      <c r="AD117" s="6">
        <f t="shared" si="66"/>
        <v>0</v>
      </c>
      <c r="AE117" s="6">
        <f t="shared" si="67"/>
        <v>34356.86</v>
      </c>
      <c r="AF117" s="7">
        <f t="shared" si="68"/>
        <v>-1</v>
      </c>
      <c r="AG117" s="6">
        <f t="shared" si="69"/>
        <v>-34356.86</v>
      </c>
      <c r="AI117" s="5"/>
    </row>
    <row r="118" spans="1:35" x14ac:dyDescent="0.2">
      <c r="A118" s="8"/>
      <c r="C118" s="87">
        <v>1159</v>
      </c>
      <c r="D118" s="87" t="s">
        <v>14</v>
      </c>
      <c r="E118" s="87">
        <v>1159</v>
      </c>
      <c r="F118" s="87" t="s">
        <v>14</v>
      </c>
      <c r="G118" s="87" t="s">
        <v>1</v>
      </c>
      <c r="H118" s="87" t="s">
        <v>3</v>
      </c>
      <c r="I118" s="89" t="s">
        <v>9</v>
      </c>
      <c r="J118" s="6">
        <v>0</v>
      </c>
      <c r="K118" s="6">
        <v>650.35</v>
      </c>
      <c r="L118" s="7">
        <f t="shared" si="56"/>
        <v>-1</v>
      </c>
      <c r="M118" s="6">
        <f t="shared" si="57"/>
        <v>-650.35</v>
      </c>
      <c r="N118" s="6">
        <v>0</v>
      </c>
      <c r="O118" s="6">
        <v>566.97</v>
      </c>
      <c r="P118" s="7">
        <f t="shared" si="58"/>
        <v>-1</v>
      </c>
      <c r="Q118" s="6">
        <f t="shared" si="59"/>
        <v>-566.97</v>
      </c>
      <c r="R118" s="6">
        <v>0</v>
      </c>
      <c r="S118" s="6">
        <v>566.97</v>
      </c>
      <c r="T118" s="7">
        <f t="shared" si="60"/>
        <v>-1</v>
      </c>
      <c r="U118" s="6">
        <f t="shared" si="61"/>
        <v>-566.97</v>
      </c>
      <c r="V118" s="6">
        <v>0</v>
      </c>
      <c r="W118" s="6">
        <v>1675.07</v>
      </c>
      <c r="X118" s="7">
        <f t="shared" si="62"/>
        <v>-1</v>
      </c>
      <c r="Y118" s="6">
        <f t="shared" si="63"/>
        <v>-1675.07</v>
      </c>
      <c r="Z118" s="6">
        <v>0</v>
      </c>
      <c r="AA118" s="6">
        <v>1339.25</v>
      </c>
      <c r="AB118" s="7">
        <f t="shared" si="64"/>
        <v>-1</v>
      </c>
      <c r="AC118" s="6">
        <f t="shared" si="65"/>
        <v>-1339.25</v>
      </c>
      <c r="AD118" s="6">
        <f t="shared" si="66"/>
        <v>0</v>
      </c>
      <c r="AE118" s="6">
        <f t="shared" si="67"/>
        <v>4798.6100000000006</v>
      </c>
      <c r="AF118" s="7">
        <f t="shared" si="68"/>
        <v>-1</v>
      </c>
      <c r="AG118" s="6">
        <f t="shared" si="69"/>
        <v>-4798.6100000000006</v>
      </c>
      <c r="AI118" s="5"/>
    </row>
    <row r="119" spans="1:35" x14ac:dyDescent="0.2">
      <c r="A119" s="8"/>
      <c r="C119" s="87">
        <v>1159</v>
      </c>
      <c r="D119" s="87" t="s">
        <v>14</v>
      </c>
      <c r="E119" s="87">
        <v>1159</v>
      </c>
      <c r="F119" s="87" t="s">
        <v>14</v>
      </c>
      <c r="G119" s="87" t="s">
        <v>1</v>
      </c>
      <c r="H119" s="87" t="s">
        <v>3</v>
      </c>
      <c r="I119" s="89" t="s">
        <v>8</v>
      </c>
      <c r="J119" s="6">
        <v>0</v>
      </c>
      <c r="K119" s="6">
        <v>0</v>
      </c>
      <c r="L119" s="7">
        <f t="shared" si="56"/>
        <v>-1</v>
      </c>
      <c r="M119" s="6">
        <f t="shared" si="57"/>
        <v>0</v>
      </c>
      <c r="N119" s="6">
        <v>0</v>
      </c>
      <c r="O119" s="6">
        <v>0</v>
      </c>
      <c r="P119" s="7">
        <f t="shared" si="58"/>
        <v>-1</v>
      </c>
      <c r="Q119" s="6">
        <f t="shared" si="59"/>
        <v>0</v>
      </c>
      <c r="R119" s="6">
        <v>0</v>
      </c>
      <c r="S119" s="6">
        <v>0</v>
      </c>
      <c r="T119" s="7">
        <f t="shared" si="60"/>
        <v>-1</v>
      </c>
      <c r="U119" s="6">
        <f t="shared" si="61"/>
        <v>0</v>
      </c>
      <c r="V119" s="6">
        <v>0</v>
      </c>
      <c r="W119" s="6">
        <v>0</v>
      </c>
      <c r="X119" s="7">
        <f t="shared" si="62"/>
        <v>-1</v>
      </c>
      <c r="Y119" s="6">
        <f t="shared" si="63"/>
        <v>0</v>
      </c>
      <c r="Z119" s="6">
        <v>0</v>
      </c>
      <c r="AA119" s="6">
        <v>0</v>
      </c>
      <c r="AB119" s="7">
        <f t="shared" si="64"/>
        <v>-1</v>
      </c>
      <c r="AC119" s="6">
        <f t="shared" si="65"/>
        <v>0</v>
      </c>
      <c r="AD119" s="6">
        <f t="shared" si="66"/>
        <v>0</v>
      </c>
      <c r="AE119" s="6">
        <f t="shared" si="67"/>
        <v>0</v>
      </c>
      <c r="AF119" s="7">
        <f t="shared" si="68"/>
        <v>-1</v>
      </c>
      <c r="AG119" s="6">
        <f t="shared" si="69"/>
        <v>0</v>
      </c>
      <c r="AI119" s="5"/>
    </row>
    <row r="120" spans="1:35" x14ac:dyDescent="0.2">
      <c r="A120" s="8"/>
      <c r="C120" s="87">
        <v>1159</v>
      </c>
      <c r="D120" s="87" t="s">
        <v>14</v>
      </c>
      <c r="E120" s="87">
        <v>1159</v>
      </c>
      <c r="F120" s="87" t="s">
        <v>14</v>
      </c>
      <c r="G120" s="87" t="s">
        <v>1</v>
      </c>
      <c r="H120" s="87" t="s">
        <v>3</v>
      </c>
      <c r="I120" s="89" t="s">
        <v>7</v>
      </c>
      <c r="J120" s="6">
        <v>0</v>
      </c>
      <c r="K120" s="6">
        <v>530.4</v>
      </c>
      <c r="L120" s="7">
        <f t="shared" si="56"/>
        <v>-1</v>
      </c>
      <c r="M120" s="6">
        <f t="shared" si="57"/>
        <v>-530.4</v>
      </c>
      <c r="N120" s="6">
        <v>0</v>
      </c>
      <c r="O120" s="6">
        <v>530.41999999999996</v>
      </c>
      <c r="P120" s="7">
        <f t="shared" si="58"/>
        <v>-1</v>
      </c>
      <c r="Q120" s="6">
        <f t="shared" si="59"/>
        <v>-530.41999999999996</v>
      </c>
      <c r="R120" s="6">
        <v>0</v>
      </c>
      <c r="S120" s="6">
        <v>530.41</v>
      </c>
      <c r="T120" s="7">
        <f t="shared" si="60"/>
        <v>-1</v>
      </c>
      <c r="U120" s="6">
        <f t="shared" si="61"/>
        <v>-530.41</v>
      </c>
      <c r="V120" s="6">
        <v>0</v>
      </c>
      <c r="W120" s="6">
        <v>1567.03</v>
      </c>
      <c r="X120" s="7">
        <f t="shared" si="62"/>
        <v>-1</v>
      </c>
      <c r="Y120" s="6">
        <f t="shared" si="63"/>
        <v>-1567.03</v>
      </c>
      <c r="Z120" s="6">
        <v>0</v>
      </c>
      <c r="AA120" s="6">
        <v>577.52</v>
      </c>
      <c r="AB120" s="7">
        <f t="shared" si="64"/>
        <v>-1</v>
      </c>
      <c r="AC120" s="6">
        <f t="shared" si="65"/>
        <v>-577.52</v>
      </c>
      <c r="AD120" s="6">
        <f t="shared" si="66"/>
        <v>0</v>
      </c>
      <c r="AE120" s="6">
        <f t="shared" si="67"/>
        <v>3735.78</v>
      </c>
      <c r="AF120" s="7">
        <f t="shared" si="68"/>
        <v>-1</v>
      </c>
      <c r="AG120" s="6">
        <f t="shared" si="69"/>
        <v>-3735.78</v>
      </c>
      <c r="AI120" s="5"/>
    </row>
    <row r="121" spans="1:35" x14ac:dyDescent="0.2">
      <c r="A121" s="8"/>
      <c r="C121" s="87">
        <v>1159</v>
      </c>
      <c r="D121" s="87" t="s">
        <v>14</v>
      </c>
      <c r="E121" s="87">
        <v>1159</v>
      </c>
      <c r="F121" s="87" t="s">
        <v>14</v>
      </c>
      <c r="G121" s="87" t="s">
        <v>1</v>
      </c>
      <c r="H121" s="87" t="s">
        <v>3</v>
      </c>
      <c r="I121" s="89" t="s">
        <v>6</v>
      </c>
      <c r="J121" s="6">
        <v>0</v>
      </c>
      <c r="K121" s="6">
        <v>0</v>
      </c>
      <c r="L121" s="7">
        <f t="shared" si="56"/>
        <v>-1</v>
      </c>
      <c r="M121" s="6">
        <f t="shared" si="57"/>
        <v>0</v>
      </c>
      <c r="N121" s="6">
        <v>0</v>
      </c>
      <c r="O121" s="6">
        <v>0</v>
      </c>
      <c r="P121" s="7">
        <f t="shared" si="58"/>
        <v>-1</v>
      </c>
      <c r="Q121" s="6">
        <f t="shared" si="59"/>
        <v>0</v>
      </c>
      <c r="R121" s="6">
        <v>0</v>
      </c>
      <c r="S121" s="6">
        <v>0</v>
      </c>
      <c r="T121" s="7">
        <f t="shared" si="60"/>
        <v>-1</v>
      </c>
      <c r="U121" s="6">
        <f t="shared" si="61"/>
        <v>0</v>
      </c>
      <c r="V121" s="6">
        <v>0</v>
      </c>
      <c r="W121" s="6">
        <v>0</v>
      </c>
      <c r="X121" s="7">
        <f t="shared" si="62"/>
        <v>-1</v>
      </c>
      <c r="Y121" s="6">
        <f t="shared" si="63"/>
        <v>0</v>
      </c>
      <c r="Z121" s="6">
        <v>0</v>
      </c>
      <c r="AA121" s="6">
        <v>0</v>
      </c>
      <c r="AB121" s="7">
        <f t="shared" si="64"/>
        <v>-1</v>
      </c>
      <c r="AC121" s="6">
        <f t="shared" si="65"/>
        <v>0</v>
      </c>
      <c r="AD121" s="6">
        <f t="shared" si="66"/>
        <v>0</v>
      </c>
      <c r="AE121" s="6">
        <f t="shared" si="67"/>
        <v>0</v>
      </c>
      <c r="AF121" s="7">
        <f t="shared" si="68"/>
        <v>-1</v>
      </c>
      <c r="AG121" s="6">
        <f t="shared" si="69"/>
        <v>0</v>
      </c>
      <c r="AI121" s="5"/>
    </row>
    <row r="122" spans="1:35" x14ac:dyDescent="0.2">
      <c r="A122" s="8"/>
      <c r="C122" s="87">
        <v>1159</v>
      </c>
      <c r="D122" s="87" t="s">
        <v>14</v>
      </c>
      <c r="E122" s="87">
        <v>1159</v>
      </c>
      <c r="F122" s="87" t="s">
        <v>14</v>
      </c>
      <c r="G122" s="87" t="s">
        <v>1</v>
      </c>
      <c r="H122" s="87" t="s">
        <v>3</v>
      </c>
      <c r="I122" s="89" t="s">
        <v>5</v>
      </c>
      <c r="J122" s="6">
        <v>0</v>
      </c>
      <c r="K122" s="6">
        <v>0</v>
      </c>
      <c r="L122" s="7">
        <f t="shared" si="56"/>
        <v>-1</v>
      </c>
      <c r="M122" s="6">
        <f t="shared" si="57"/>
        <v>0</v>
      </c>
      <c r="N122" s="6">
        <v>0</v>
      </c>
      <c r="O122" s="6">
        <v>0</v>
      </c>
      <c r="P122" s="7">
        <f t="shared" si="58"/>
        <v>-1</v>
      </c>
      <c r="Q122" s="6">
        <f t="shared" si="59"/>
        <v>0</v>
      </c>
      <c r="R122" s="6">
        <v>0</v>
      </c>
      <c r="S122" s="6">
        <v>0</v>
      </c>
      <c r="T122" s="7">
        <f t="shared" si="60"/>
        <v>-1</v>
      </c>
      <c r="U122" s="6">
        <f t="shared" si="61"/>
        <v>0</v>
      </c>
      <c r="V122" s="6">
        <v>0</v>
      </c>
      <c r="W122" s="6">
        <v>0</v>
      </c>
      <c r="X122" s="7">
        <f t="shared" si="62"/>
        <v>-1</v>
      </c>
      <c r="Y122" s="6">
        <f t="shared" si="63"/>
        <v>0</v>
      </c>
      <c r="Z122" s="6">
        <v>0</v>
      </c>
      <c r="AA122" s="6">
        <v>0</v>
      </c>
      <c r="AB122" s="7">
        <f t="shared" si="64"/>
        <v>-1</v>
      </c>
      <c r="AC122" s="6">
        <f t="shared" si="65"/>
        <v>0</v>
      </c>
      <c r="AD122" s="6">
        <f t="shared" si="66"/>
        <v>0</v>
      </c>
      <c r="AE122" s="6">
        <f t="shared" si="67"/>
        <v>0</v>
      </c>
      <c r="AF122" s="7">
        <f t="shared" si="68"/>
        <v>-1</v>
      </c>
      <c r="AG122" s="6">
        <f t="shared" si="69"/>
        <v>0</v>
      </c>
      <c r="AI122" s="5"/>
    </row>
    <row r="123" spans="1:35" x14ac:dyDescent="0.2">
      <c r="A123" s="8"/>
      <c r="C123" s="87">
        <v>1159</v>
      </c>
      <c r="D123" s="87" t="s">
        <v>14</v>
      </c>
      <c r="E123" s="87">
        <v>1159</v>
      </c>
      <c r="F123" s="87" t="s">
        <v>14</v>
      </c>
      <c r="G123" s="87" t="s">
        <v>1</v>
      </c>
      <c r="H123" s="87" t="s">
        <v>3</v>
      </c>
      <c r="I123" s="89" t="s">
        <v>4</v>
      </c>
      <c r="J123" s="6">
        <v>0</v>
      </c>
      <c r="K123" s="6">
        <v>0</v>
      </c>
      <c r="L123" s="7">
        <f t="shared" si="56"/>
        <v>-1</v>
      </c>
      <c r="M123" s="6">
        <f t="shared" si="57"/>
        <v>0</v>
      </c>
      <c r="N123" s="6">
        <v>0</v>
      </c>
      <c r="O123" s="6">
        <v>0</v>
      </c>
      <c r="P123" s="7">
        <f t="shared" si="58"/>
        <v>-1</v>
      </c>
      <c r="Q123" s="6">
        <f t="shared" si="59"/>
        <v>0</v>
      </c>
      <c r="R123" s="6">
        <v>0</v>
      </c>
      <c r="S123" s="6">
        <v>0</v>
      </c>
      <c r="T123" s="7">
        <f t="shared" si="60"/>
        <v>-1</v>
      </c>
      <c r="U123" s="6">
        <f t="shared" si="61"/>
        <v>0</v>
      </c>
      <c r="V123" s="6">
        <v>0</v>
      </c>
      <c r="W123" s="6">
        <v>0</v>
      </c>
      <c r="X123" s="7">
        <f t="shared" si="62"/>
        <v>-1</v>
      </c>
      <c r="Y123" s="6">
        <f t="shared" si="63"/>
        <v>0</v>
      </c>
      <c r="Z123" s="6">
        <v>0</v>
      </c>
      <c r="AA123" s="6">
        <v>0</v>
      </c>
      <c r="AB123" s="7">
        <f t="shared" si="64"/>
        <v>-1</v>
      </c>
      <c r="AC123" s="6">
        <f t="shared" si="65"/>
        <v>0</v>
      </c>
      <c r="AD123" s="6">
        <f t="shared" si="66"/>
        <v>0</v>
      </c>
      <c r="AE123" s="6">
        <f t="shared" si="67"/>
        <v>0</v>
      </c>
      <c r="AF123" s="7">
        <f t="shared" si="68"/>
        <v>-1</v>
      </c>
      <c r="AG123" s="6">
        <f t="shared" si="69"/>
        <v>0</v>
      </c>
      <c r="AI123" s="5"/>
    </row>
    <row r="124" spans="1:35" x14ac:dyDescent="0.2">
      <c r="A124" s="8"/>
      <c r="C124" s="87">
        <v>1159</v>
      </c>
      <c r="D124" s="87" t="s">
        <v>14</v>
      </c>
      <c r="E124" s="87">
        <v>1159</v>
      </c>
      <c r="F124" s="87" t="s">
        <v>14</v>
      </c>
      <c r="G124" s="87" t="s">
        <v>1</v>
      </c>
      <c r="H124" s="87" t="s">
        <v>3</v>
      </c>
      <c r="I124" s="89" t="s">
        <v>2</v>
      </c>
      <c r="J124" s="6">
        <v>0</v>
      </c>
      <c r="K124" s="6">
        <v>0</v>
      </c>
      <c r="L124" s="7">
        <f t="shared" si="56"/>
        <v>-1</v>
      </c>
      <c r="M124" s="6">
        <f t="shared" si="57"/>
        <v>0</v>
      </c>
      <c r="N124" s="6">
        <v>0</v>
      </c>
      <c r="O124" s="6">
        <v>0</v>
      </c>
      <c r="P124" s="7">
        <f t="shared" si="58"/>
        <v>-1</v>
      </c>
      <c r="Q124" s="6">
        <f t="shared" si="59"/>
        <v>0</v>
      </c>
      <c r="R124" s="6">
        <v>0</v>
      </c>
      <c r="S124" s="6">
        <v>0</v>
      </c>
      <c r="T124" s="7">
        <f t="shared" si="60"/>
        <v>-1</v>
      </c>
      <c r="U124" s="6">
        <f t="shared" si="61"/>
        <v>0</v>
      </c>
      <c r="V124" s="6">
        <v>0</v>
      </c>
      <c r="W124" s="6">
        <v>0</v>
      </c>
      <c r="X124" s="7">
        <f t="shared" si="62"/>
        <v>-1</v>
      </c>
      <c r="Y124" s="6">
        <f t="shared" si="63"/>
        <v>0</v>
      </c>
      <c r="Z124" s="6">
        <v>0</v>
      </c>
      <c r="AA124" s="6">
        <v>0</v>
      </c>
      <c r="AB124" s="7">
        <f t="shared" si="64"/>
        <v>-1</v>
      </c>
      <c r="AC124" s="6">
        <f t="shared" si="65"/>
        <v>0</v>
      </c>
      <c r="AD124" s="6">
        <f t="shared" si="66"/>
        <v>0</v>
      </c>
      <c r="AE124" s="6">
        <f t="shared" si="67"/>
        <v>0</v>
      </c>
      <c r="AF124" s="7">
        <f t="shared" si="68"/>
        <v>-1</v>
      </c>
      <c r="AG124" s="6">
        <f t="shared" si="69"/>
        <v>0</v>
      </c>
      <c r="AI124" s="5"/>
    </row>
    <row r="125" spans="1:35" x14ac:dyDescent="0.2">
      <c r="A125" s="8"/>
      <c r="C125" s="87">
        <v>1159</v>
      </c>
      <c r="D125" s="87" t="s">
        <v>14</v>
      </c>
      <c r="E125" s="87">
        <v>1160</v>
      </c>
      <c r="F125" s="87" t="s">
        <v>13</v>
      </c>
      <c r="G125" s="87" t="s">
        <v>1</v>
      </c>
      <c r="H125" s="87" t="s">
        <v>3</v>
      </c>
      <c r="I125" s="89" t="s">
        <v>10</v>
      </c>
      <c r="J125" s="6">
        <v>0</v>
      </c>
      <c r="K125" s="6">
        <v>6727.47</v>
      </c>
      <c r="L125" s="7">
        <f t="shared" si="56"/>
        <v>-1</v>
      </c>
      <c r="M125" s="6">
        <f t="shared" si="57"/>
        <v>-6727.47</v>
      </c>
      <c r="N125" s="6">
        <v>0</v>
      </c>
      <c r="O125" s="6">
        <v>6727.43</v>
      </c>
      <c r="P125" s="7">
        <f t="shared" si="58"/>
        <v>-1</v>
      </c>
      <c r="Q125" s="6">
        <f t="shared" si="59"/>
        <v>-6727.43</v>
      </c>
      <c r="R125" s="6">
        <v>0</v>
      </c>
      <c r="S125" s="6">
        <v>-13372.17</v>
      </c>
      <c r="T125" s="7">
        <f t="shared" si="60"/>
        <v>-1</v>
      </c>
      <c r="U125" s="6">
        <f t="shared" si="61"/>
        <v>13372.17</v>
      </c>
      <c r="V125" s="6">
        <v>0</v>
      </c>
      <c r="W125" s="6">
        <v>6727.46</v>
      </c>
      <c r="X125" s="7">
        <f t="shared" si="62"/>
        <v>-1</v>
      </c>
      <c r="Y125" s="6">
        <f t="shared" si="63"/>
        <v>-6727.46</v>
      </c>
      <c r="Z125" s="6">
        <v>0</v>
      </c>
      <c r="AA125" s="6">
        <v>6727.44</v>
      </c>
      <c r="AB125" s="7">
        <f t="shared" si="64"/>
        <v>-1</v>
      </c>
      <c r="AC125" s="6">
        <f t="shared" si="65"/>
        <v>-6727.44</v>
      </c>
      <c r="AD125" s="6">
        <f t="shared" si="66"/>
        <v>0</v>
      </c>
      <c r="AE125" s="6">
        <f t="shared" si="67"/>
        <v>13537.630000000001</v>
      </c>
      <c r="AF125" s="7">
        <f t="shared" si="68"/>
        <v>-1</v>
      </c>
      <c r="AG125" s="6">
        <f t="shared" si="69"/>
        <v>-13537.630000000001</v>
      </c>
      <c r="AI125" s="5"/>
    </row>
    <row r="126" spans="1:35" x14ac:dyDescent="0.2">
      <c r="A126" s="8"/>
      <c r="C126" s="87">
        <v>1159</v>
      </c>
      <c r="D126" s="87" t="s">
        <v>14</v>
      </c>
      <c r="E126" s="87">
        <v>1160</v>
      </c>
      <c r="F126" s="87" t="s">
        <v>13</v>
      </c>
      <c r="G126" s="87" t="s">
        <v>1</v>
      </c>
      <c r="H126" s="87" t="s">
        <v>3</v>
      </c>
      <c r="I126" s="89" t="s">
        <v>9</v>
      </c>
      <c r="J126" s="6">
        <v>0</v>
      </c>
      <c r="K126" s="6">
        <v>643.55999999999995</v>
      </c>
      <c r="L126" s="7">
        <f t="shared" si="56"/>
        <v>-1</v>
      </c>
      <c r="M126" s="6">
        <f t="shared" si="57"/>
        <v>-643.55999999999995</v>
      </c>
      <c r="N126" s="6">
        <v>0</v>
      </c>
      <c r="O126" s="6">
        <v>575.29999999999995</v>
      </c>
      <c r="P126" s="7">
        <f t="shared" si="58"/>
        <v>-1</v>
      </c>
      <c r="Q126" s="6">
        <f t="shared" si="59"/>
        <v>-575.29999999999995</v>
      </c>
      <c r="R126" s="6">
        <v>0</v>
      </c>
      <c r="S126" s="6">
        <v>575.29999999999995</v>
      </c>
      <c r="T126" s="7">
        <f t="shared" si="60"/>
        <v>-1</v>
      </c>
      <c r="U126" s="6">
        <f t="shared" si="61"/>
        <v>-575.29999999999995</v>
      </c>
      <c r="V126" s="6">
        <v>0</v>
      </c>
      <c r="W126" s="6">
        <v>575.32000000000005</v>
      </c>
      <c r="X126" s="7">
        <f t="shared" si="62"/>
        <v>-1</v>
      </c>
      <c r="Y126" s="6">
        <f t="shared" si="63"/>
        <v>-575.32000000000005</v>
      </c>
      <c r="Z126" s="6">
        <v>0</v>
      </c>
      <c r="AA126" s="6">
        <v>1248.05</v>
      </c>
      <c r="AB126" s="7">
        <f t="shared" si="64"/>
        <v>-1</v>
      </c>
      <c r="AC126" s="6">
        <f t="shared" si="65"/>
        <v>-1248.05</v>
      </c>
      <c r="AD126" s="6">
        <f t="shared" si="66"/>
        <v>0</v>
      </c>
      <c r="AE126" s="6">
        <f t="shared" si="67"/>
        <v>3617.5299999999997</v>
      </c>
      <c r="AF126" s="7">
        <f t="shared" si="68"/>
        <v>-1</v>
      </c>
      <c r="AG126" s="6">
        <f t="shared" si="69"/>
        <v>-3617.5299999999997</v>
      </c>
      <c r="AI126" s="5"/>
    </row>
    <row r="127" spans="1:35" x14ac:dyDescent="0.2">
      <c r="A127" s="8"/>
      <c r="C127" s="87">
        <v>1159</v>
      </c>
      <c r="D127" s="87" t="s">
        <v>14</v>
      </c>
      <c r="E127" s="87">
        <v>1160</v>
      </c>
      <c r="F127" s="87" t="s">
        <v>13</v>
      </c>
      <c r="G127" s="87" t="s">
        <v>1</v>
      </c>
      <c r="H127" s="87" t="s">
        <v>3</v>
      </c>
      <c r="I127" s="89" t="s">
        <v>8</v>
      </c>
      <c r="J127" s="6">
        <v>0</v>
      </c>
      <c r="K127" s="6">
        <v>0</v>
      </c>
      <c r="L127" s="7">
        <f t="shared" si="56"/>
        <v>-1</v>
      </c>
      <c r="M127" s="6">
        <f t="shared" si="57"/>
        <v>0</v>
      </c>
      <c r="N127" s="6">
        <v>0</v>
      </c>
      <c r="O127" s="6">
        <v>0</v>
      </c>
      <c r="P127" s="7">
        <f t="shared" si="58"/>
        <v>-1</v>
      </c>
      <c r="Q127" s="6">
        <f t="shared" si="59"/>
        <v>0</v>
      </c>
      <c r="R127" s="6">
        <v>0</v>
      </c>
      <c r="S127" s="6">
        <v>0</v>
      </c>
      <c r="T127" s="7">
        <f t="shared" si="60"/>
        <v>-1</v>
      </c>
      <c r="U127" s="6">
        <f t="shared" si="61"/>
        <v>0</v>
      </c>
      <c r="V127" s="6">
        <v>0</v>
      </c>
      <c r="W127" s="6">
        <v>0</v>
      </c>
      <c r="X127" s="7">
        <f t="shared" si="62"/>
        <v>-1</v>
      </c>
      <c r="Y127" s="6">
        <f t="shared" si="63"/>
        <v>0</v>
      </c>
      <c r="Z127" s="6">
        <v>0</v>
      </c>
      <c r="AA127" s="6">
        <v>0</v>
      </c>
      <c r="AB127" s="7">
        <f t="shared" si="64"/>
        <v>-1</v>
      </c>
      <c r="AC127" s="6">
        <f t="shared" si="65"/>
        <v>0</v>
      </c>
      <c r="AD127" s="6">
        <f t="shared" si="66"/>
        <v>0</v>
      </c>
      <c r="AE127" s="6">
        <f t="shared" si="67"/>
        <v>0</v>
      </c>
      <c r="AF127" s="7">
        <f t="shared" si="68"/>
        <v>-1</v>
      </c>
      <c r="AG127" s="6">
        <f t="shared" si="69"/>
        <v>0</v>
      </c>
      <c r="AI127" s="5"/>
    </row>
    <row r="128" spans="1:35" x14ac:dyDescent="0.2">
      <c r="A128" s="8"/>
      <c r="C128" s="87">
        <v>1159</v>
      </c>
      <c r="D128" s="87" t="s">
        <v>14</v>
      </c>
      <c r="E128" s="87">
        <v>1160</v>
      </c>
      <c r="F128" s="87" t="s">
        <v>13</v>
      </c>
      <c r="G128" s="87" t="s">
        <v>1</v>
      </c>
      <c r="H128" s="87" t="s">
        <v>3</v>
      </c>
      <c r="I128" s="89" t="s">
        <v>7</v>
      </c>
      <c r="J128" s="6">
        <v>0</v>
      </c>
      <c r="K128" s="6">
        <v>538.19000000000005</v>
      </c>
      <c r="L128" s="7">
        <f t="shared" si="56"/>
        <v>-1</v>
      </c>
      <c r="M128" s="6">
        <f t="shared" si="57"/>
        <v>-538.19000000000005</v>
      </c>
      <c r="N128" s="6">
        <v>0</v>
      </c>
      <c r="O128" s="6">
        <v>538.19000000000005</v>
      </c>
      <c r="P128" s="7">
        <f t="shared" si="58"/>
        <v>-1</v>
      </c>
      <c r="Q128" s="6">
        <f t="shared" si="59"/>
        <v>-538.19000000000005</v>
      </c>
      <c r="R128" s="6">
        <v>0</v>
      </c>
      <c r="S128" s="6">
        <v>538.21</v>
      </c>
      <c r="T128" s="7">
        <f t="shared" si="60"/>
        <v>-1</v>
      </c>
      <c r="U128" s="6">
        <f t="shared" si="61"/>
        <v>-538.21</v>
      </c>
      <c r="V128" s="6">
        <v>0</v>
      </c>
      <c r="W128" s="6">
        <v>538.17999999999995</v>
      </c>
      <c r="X128" s="7">
        <f t="shared" si="62"/>
        <v>-1</v>
      </c>
      <c r="Y128" s="6">
        <f t="shared" si="63"/>
        <v>-538.17999999999995</v>
      </c>
      <c r="Z128" s="6">
        <v>0</v>
      </c>
      <c r="AA128" s="6">
        <v>538.21</v>
      </c>
      <c r="AB128" s="7">
        <f t="shared" si="64"/>
        <v>-1</v>
      </c>
      <c r="AC128" s="6">
        <f t="shared" si="65"/>
        <v>-538.21</v>
      </c>
      <c r="AD128" s="6">
        <f t="shared" si="66"/>
        <v>0</v>
      </c>
      <c r="AE128" s="6">
        <f t="shared" si="67"/>
        <v>2690.98</v>
      </c>
      <c r="AF128" s="7">
        <f t="shared" si="68"/>
        <v>-1</v>
      </c>
      <c r="AG128" s="6">
        <f t="shared" si="69"/>
        <v>-2690.98</v>
      </c>
      <c r="AI128" s="5"/>
    </row>
    <row r="129" spans="1:35" x14ac:dyDescent="0.2">
      <c r="A129" s="8"/>
      <c r="C129" s="87">
        <v>1159</v>
      </c>
      <c r="D129" s="87" t="s">
        <v>14</v>
      </c>
      <c r="E129" s="87">
        <v>1160</v>
      </c>
      <c r="F129" s="87" t="s">
        <v>13</v>
      </c>
      <c r="G129" s="87" t="s">
        <v>1</v>
      </c>
      <c r="H129" s="87" t="s">
        <v>3</v>
      </c>
      <c r="I129" s="89" t="s">
        <v>6</v>
      </c>
      <c r="J129" s="6">
        <v>0</v>
      </c>
      <c r="K129" s="6">
        <v>0</v>
      </c>
      <c r="L129" s="7">
        <f t="shared" si="56"/>
        <v>-1</v>
      </c>
      <c r="M129" s="6">
        <f t="shared" si="57"/>
        <v>0</v>
      </c>
      <c r="N129" s="6">
        <v>0</v>
      </c>
      <c r="O129" s="6">
        <v>0</v>
      </c>
      <c r="P129" s="7">
        <f t="shared" si="58"/>
        <v>-1</v>
      </c>
      <c r="Q129" s="6">
        <f t="shared" si="59"/>
        <v>0</v>
      </c>
      <c r="R129" s="6">
        <v>0</v>
      </c>
      <c r="S129" s="6">
        <v>0</v>
      </c>
      <c r="T129" s="7">
        <f t="shared" si="60"/>
        <v>-1</v>
      </c>
      <c r="U129" s="6">
        <f t="shared" si="61"/>
        <v>0</v>
      </c>
      <c r="V129" s="6">
        <v>0</v>
      </c>
      <c r="W129" s="6">
        <v>0</v>
      </c>
      <c r="X129" s="7">
        <f t="shared" si="62"/>
        <v>-1</v>
      </c>
      <c r="Y129" s="6">
        <f t="shared" si="63"/>
        <v>0</v>
      </c>
      <c r="Z129" s="6">
        <v>0</v>
      </c>
      <c r="AA129" s="6">
        <v>0</v>
      </c>
      <c r="AB129" s="7">
        <f t="shared" si="64"/>
        <v>-1</v>
      </c>
      <c r="AC129" s="6">
        <f t="shared" si="65"/>
        <v>0</v>
      </c>
      <c r="AD129" s="6">
        <f t="shared" si="66"/>
        <v>0</v>
      </c>
      <c r="AE129" s="6">
        <f t="shared" si="67"/>
        <v>0</v>
      </c>
      <c r="AF129" s="7">
        <f t="shared" si="68"/>
        <v>-1</v>
      </c>
      <c r="AG129" s="6">
        <f t="shared" si="69"/>
        <v>0</v>
      </c>
      <c r="AI129" s="5"/>
    </row>
    <row r="130" spans="1:35" x14ac:dyDescent="0.2">
      <c r="A130" s="8"/>
      <c r="C130" s="87">
        <v>1159</v>
      </c>
      <c r="D130" s="87" t="s">
        <v>14</v>
      </c>
      <c r="E130" s="87">
        <v>1160</v>
      </c>
      <c r="F130" s="87" t="s">
        <v>13</v>
      </c>
      <c r="G130" s="87" t="s">
        <v>1</v>
      </c>
      <c r="H130" s="87" t="s">
        <v>3</v>
      </c>
      <c r="I130" s="89" t="s">
        <v>5</v>
      </c>
      <c r="J130" s="6">
        <v>0</v>
      </c>
      <c r="K130" s="6">
        <v>0</v>
      </c>
      <c r="L130" s="7">
        <f t="shared" si="56"/>
        <v>-1</v>
      </c>
      <c r="M130" s="6">
        <f t="shared" si="57"/>
        <v>0</v>
      </c>
      <c r="N130" s="6">
        <v>0</v>
      </c>
      <c r="O130" s="6">
        <v>0</v>
      </c>
      <c r="P130" s="7">
        <f t="shared" si="58"/>
        <v>-1</v>
      </c>
      <c r="Q130" s="6">
        <f t="shared" si="59"/>
        <v>0</v>
      </c>
      <c r="R130" s="6">
        <v>0</v>
      </c>
      <c r="S130" s="6">
        <v>0</v>
      </c>
      <c r="T130" s="7">
        <f t="shared" si="60"/>
        <v>-1</v>
      </c>
      <c r="U130" s="6">
        <f t="shared" si="61"/>
        <v>0</v>
      </c>
      <c r="V130" s="6">
        <v>0</v>
      </c>
      <c r="W130" s="6">
        <v>0</v>
      </c>
      <c r="X130" s="7">
        <f t="shared" si="62"/>
        <v>-1</v>
      </c>
      <c r="Y130" s="6">
        <f t="shared" si="63"/>
        <v>0</v>
      </c>
      <c r="Z130" s="6">
        <v>0</v>
      </c>
      <c r="AA130" s="6">
        <v>0</v>
      </c>
      <c r="AB130" s="7">
        <f t="shared" si="64"/>
        <v>-1</v>
      </c>
      <c r="AC130" s="6">
        <f t="shared" si="65"/>
        <v>0</v>
      </c>
      <c r="AD130" s="6">
        <f t="shared" si="66"/>
        <v>0</v>
      </c>
      <c r="AE130" s="6">
        <f t="shared" si="67"/>
        <v>0</v>
      </c>
      <c r="AF130" s="7">
        <f t="shared" si="68"/>
        <v>-1</v>
      </c>
      <c r="AG130" s="6">
        <f t="shared" si="69"/>
        <v>0</v>
      </c>
      <c r="AI130" s="5"/>
    </row>
    <row r="131" spans="1:35" x14ac:dyDescent="0.2">
      <c r="A131" s="8"/>
      <c r="C131" s="87">
        <v>1159</v>
      </c>
      <c r="D131" s="87" t="s">
        <v>14</v>
      </c>
      <c r="E131" s="87">
        <v>1160</v>
      </c>
      <c r="F131" s="87" t="s">
        <v>13</v>
      </c>
      <c r="G131" s="87" t="s">
        <v>1</v>
      </c>
      <c r="H131" s="87" t="s">
        <v>3</v>
      </c>
      <c r="I131" s="89" t="s">
        <v>4</v>
      </c>
      <c r="J131" s="6">
        <v>0</v>
      </c>
      <c r="K131" s="6">
        <v>0</v>
      </c>
      <c r="L131" s="7">
        <f t="shared" si="56"/>
        <v>-1</v>
      </c>
      <c r="M131" s="6">
        <f t="shared" si="57"/>
        <v>0</v>
      </c>
      <c r="N131" s="6">
        <v>0</v>
      </c>
      <c r="O131" s="6">
        <v>0</v>
      </c>
      <c r="P131" s="7">
        <f t="shared" si="58"/>
        <v>-1</v>
      </c>
      <c r="Q131" s="6">
        <f t="shared" si="59"/>
        <v>0</v>
      </c>
      <c r="R131" s="6">
        <v>0</v>
      </c>
      <c r="S131" s="6">
        <v>0</v>
      </c>
      <c r="T131" s="7">
        <f t="shared" si="60"/>
        <v>-1</v>
      </c>
      <c r="U131" s="6">
        <f t="shared" si="61"/>
        <v>0</v>
      </c>
      <c r="V131" s="6">
        <v>0</v>
      </c>
      <c r="W131" s="6">
        <v>0</v>
      </c>
      <c r="X131" s="7">
        <f t="shared" si="62"/>
        <v>-1</v>
      </c>
      <c r="Y131" s="6">
        <f t="shared" si="63"/>
        <v>0</v>
      </c>
      <c r="Z131" s="6">
        <v>0</v>
      </c>
      <c r="AA131" s="6">
        <v>0</v>
      </c>
      <c r="AB131" s="7">
        <f t="shared" si="64"/>
        <v>-1</v>
      </c>
      <c r="AC131" s="6">
        <f t="shared" si="65"/>
        <v>0</v>
      </c>
      <c r="AD131" s="6">
        <f t="shared" si="66"/>
        <v>0</v>
      </c>
      <c r="AE131" s="6">
        <f t="shared" si="67"/>
        <v>0</v>
      </c>
      <c r="AF131" s="7">
        <f t="shared" si="68"/>
        <v>-1</v>
      </c>
      <c r="AG131" s="6">
        <f t="shared" si="69"/>
        <v>0</v>
      </c>
      <c r="AI131" s="5"/>
    </row>
    <row r="132" spans="1:35" x14ac:dyDescent="0.2">
      <c r="A132" s="8"/>
      <c r="C132" s="87">
        <v>1159</v>
      </c>
      <c r="D132" s="87" t="s">
        <v>14</v>
      </c>
      <c r="E132" s="87">
        <v>1160</v>
      </c>
      <c r="F132" s="87" t="s">
        <v>13</v>
      </c>
      <c r="G132" s="87" t="s">
        <v>1</v>
      </c>
      <c r="H132" s="87" t="s">
        <v>3</v>
      </c>
      <c r="I132" s="89" t="s">
        <v>2</v>
      </c>
      <c r="J132" s="6">
        <v>0</v>
      </c>
      <c r="K132" s="6">
        <v>0</v>
      </c>
      <c r="L132" s="7">
        <f t="shared" si="56"/>
        <v>-1</v>
      </c>
      <c r="M132" s="6">
        <f t="shared" si="57"/>
        <v>0</v>
      </c>
      <c r="N132" s="6">
        <v>0</v>
      </c>
      <c r="O132" s="6">
        <v>0</v>
      </c>
      <c r="P132" s="7">
        <f t="shared" si="58"/>
        <v>-1</v>
      </c>
      <c r="Q132" s="6">
        <f t="shared" si="59"/>
        <v>0</v>
      </c>
      <c r="R132" s="6">
        <v>0</v>
      </c>
      <c r="S132" s="6">
        <v>0</v>
      </c>
      <c r="T132" s="7">
        <f t="shared" si="60"/>
        <v>-1</v>
      </c>
      <c r="U132" s="6">
        <f t="shared" si="61"/>
        <v>0</v>
      </c>
      <c r="V132" s="6">
        <v>0</v>
      </c>
      <c r="W132" s="6">
        <v>0</v>
      </c>
      <c r="X132" s="7">
        <f t="shared" si="62"/>
        <v>-1</v>
      </c>
      <c r="Y132" s="6">
        <f t="shared" si="63"/>
        <v>0</v>
      </c>
      <c r="Z132" s="6">
        <v>0</v>
      </c>
      <c r="AA132" s="6">
        <v>0</v>
      </c>
      <c r="AB132" s="7">
        <f t="shared" si="64"/>
        <v>-1</v>
      </c>
      <c r="AC132" s="6">
        <f t="shared" si="65"/>
        <v>0</v>
      </c>
      <c r="AD132" s="6">
        <f t="shared" si="66"/>
        <v>0</v>
      </c>
      <c r="AE132" s="6">
        <f t="shared" si="67"/>
        <v>0</v>
      </c>
      <c r="AF132" s="7">
        <f t="shared" si="68"/>
        <v>-1</v>
      </c>
      <c r="AG132" s="6">
        <f t="shared" si="69"/>
        <v>0</v>
      </c>
      <c r="AI132" s="5"/>
    </row>
    <row r="133" spans="1:35" s="3" customForma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5" spans="1:35" x14ac:dyDescent="0.2">
      <c r="S135" s="2"/>
    </row>
    <row r="137" spans="1:35" x14ac:dyDescent="0.2">
      <c r="S137" s="2"/>
    </row>
  </sheetData>
  <autoFilter ref="C10:I132" xr:uid="{231EE2F5-7231-4F2B-BD13-45EBDE1E1CFD}"/>
  <mergeCells count="4">
    <mergeCell ref="R8:U8"/>
    <mergeCell ref="V8:Y8"/>
    <mergeCell ref="Z8:AC8"/>
    <mergeCell ref="AD8:AG8"/>
  </mergeCells>
  <conditionalFormatting sqref="L11:L132 P11:P132 T11:T132 X11:X132 AB11:AB132 AF11:AF132">
    <cfRule type="cellIs" dxfId="4" priority="6" operator="greaterThan">
      <formula>0</formula>
    </cfRule>
    <cfRule type="cellIs" dxfId="3" priority="7" operator="lessThan">
      <formula>0</formula>
    </cfRule>
  </conditionalFormatting>
  <conditionalFormatting sqref="L11:M132 P11:Q132 T11:U132 X11:Y132 AB11:AC132 AF11:AG132">
    <cfRule type="cellIs" dxfId="2" priority="4" operator="equal">
      <formula>0</formula>
    </cfRule>
  </conditionalFormatting>
  <conditionalFormatting sqref="M11:M132 Q11:Q132 U11:U132 Y11:Y132 AC11:AC132 AG11:AG132">
    <cfRule type="cellIs" dxfId="1" priority="3" operator="lessThan">
      <formula>0</formula>
    </cfRule>
    <cfRule type="cellIs" dxfId="0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8B7C-A2DC-4FDD-8D8B-8BFC3E688B98}">
  <sheetPr>
    <tabColor theme="6" tint="-0.499984740745262"/>
  </sheetPr>
  <dimension ref="A1:G28"/>
  <sheetViews>
    <sheetView showGridLines="0" zoomScale="80" zoomScaleNormal="80" workbookViewId="0">
      <selection activeCell="D46" sqref="D46"/>
    </sheetView>
  </sheetViews>
  <sheetFormatPr baseColWidth="10" defaultColWidth="8.83203125" defaultRowHeight="15" x14ac:dyDescent="0.2"/>
  <cols>
    <col min="1" max="1" width="90.33203125" customWidth="1"/>
    <col min="2" max="7" width="14" customWidth="1"/>
  </cols>
  <sheetData>
    <row r="1" spans="1:7" ht="8.25" customHeight="1" x14ac:dyDescent="0.2">
      <c r="A1" s="54"/>
      <c r="B1" s="54"/>
      <c r="C1" s="54"/>
      <c r="D1" s="54"/>
      <c r="E1" s="54"/>
      <c r="F1" s="54"/>
      <c r="G1" s="54"/>
    </row>
    <row r="2" spans="1:7" ht="24" x14ac:dyDescent="0.3">
      <c r="A2" s="100" t="s">
        <v>710</v>
      </c>
      <c r="B2" s="100"/>
      <c r="C2" s="100"/>
      <c r="D2" s="100"/>
      <c r="E2" s="100"/>
      <c r="F2" s="100"/>
      <c r="G2" s="100"/>
    </row>
    <row r="3" spans="1:7" ht="8.25" customHeight="1" x14ac:dyDescent="0.2">
      <c r="A3" s="54"/>
      <c r="B3" s="54"/>
      <c r="C3" s="54"/>
      <c r="D3" s="54"/>
      <c r="E3" s="54"/>
      <c r="F3" s="54"/>
      <c r="G3" s="54"/>
    </row>
    <row r="4" spans="1:7" x14ac:dyDescent="0.2">
      <c r="A4" s="58"/>
      <c r="B4" s="58"/>
      <c r="C4" s="58"/>
      <c r="D4" s="58"/>
      <c r="E4" s="58"/>
      <c r="F4" s="58"/>
      <c r="G4" s="58"/>
    </row>
    <row r="5" spans="1:7" x14ac:dyDescent="0.2">
      <c r="A5" s="54"/>
      <c r="B5" s="54"/>
      <c r="C5" s="54"/>
      <c r="D5" s="54"/>
      <c r="E5" s="54"/>
      <c r="F5" s="54"/>
      <c r="G5" s="54"/>
    </row>
    <row r="6" spans="1:7" x14ac:dyDescent="0.2">
      <c r="A6" s="54"/>
      <c r="B6" s="54"/>
      <c r="C6" s="54"/>
      <c r="D6" s="54"/>
      <c r="E6" s="54"/>
      <c r="F6" s="54"/>
      <c r="G6" s="54"/>
    </row>
    <row r="7" spans="1:7" x14ac:dyDescent="0.2">
      <c r="A7" s="54"/>
      <c r="B7" s="54"/>
      <c r="C7" s="54"/>
      <c r="D7" s="54"/>
      <c r="E7" s="54"/>
      <c r="F7" s="54"/>
      <c r="G7" s="54"/>
    </row>
    <row r="8" spans="1:7" x14ac:dyDescent="0.2">
      <c r="A8" s="54"/>
      <c r="B8" s="54"/>
      <c r="C8" s="54"/>
      <c r="D8" s="54"/>
      <c r="E8" s="54"/>
      <c r="F8" s="54"/>
      <c r="G8" s="54"/>
    </row>
    <row r="9" spans="1:7" x14ac:dyDescent="0.2">
      <c r="A9" s="54"/>
      <c r="B9" s="54"/>
      <c r="C9" s="54"/>
      <c r="D9" s="54"/>
      <c r="E9" s="54"/>
      <c r="F9" s="54"/>
      <c r="G9" s="54"/>
    </row>
    <row r="10" spans="1:7" x14ac:dyDescent="0.2">
      <c r="A10" s="54"/>
      <c r="B10" s="54"/>
      <c r="C10" s="54"/>
      <c r="D10" s="54"/>
      <c r="E10" s="54"/>
      <c r="F10" s="54"/>
      <c r="G10" s="54"/>
    </row>
    <row r="11" spans="1:7" x14ac:dyDescent="0.2">
      <c r="A11" s="54"/>
      <c r="B11" s="54"/>
      <c r="C11" s="54"/>
      <c r="D11" s="54"/>
      <c r="E11" s="54"/>
      <c r="F11" s="54"/>
      <c r="G11" s="54"/>
    </row>
    <row r="12" spans="1:7" x14ac:dyDescent="0.2">
      <c r="A12" s="54"/>
      <c r="B12" s="54"/>
      <c r="C12" s="54"/>
      <c r="D12" s="54"/>
      <c r="E12" s="54"/>
      <c r="F12" s="54"/>
      <c r="G12" s="54"/>
    </row>
    <row r="13" spans="1:7" x14ac:dyDescent="0.2">
      <c r="A13" s="54"/>
      <c r="B13" s="54"/>
      <c r="C13" s="54"/>
      <c r="D13" s="54"/>
      <c r="E13" s="54"/>
      <c r="F13" s="54"/>
      <c r="G13" s="54"/>
    </row>
    <row r="14" spans="1:7" x14ac:dyDescent="0.2">
      <c r="A14" s="54"/>
      <c r="B14" s="54"/>
      <c r="C14" s="54"/>
      <c r="D14" s="54"/>
      <c r="E14" s="54"/>
      <c r="F14" s="54"/>
      <c r="G14" s="54"/>
    </row>
    <row r="15" spans="1:7" x14ac:dyDescent="0.2">
      <c r="A15" s="54"/>
      <c r="B15" s="54"/>
      <c r="C15" s="54"/>
      <c r="D15" s="54"/>
      <c r="E15" s="54"/>
      <c r="F15" s="54"/>
      <c r="G15" s="54"/>
    </row>
    <row r="16" spans="1:7" x14ac:dyDescent="0.2">
      <c r="A16" s="54"/>
      <c r="B16" s="54"/>
      <c r="C16" s="54"/>
      <c r="D16" s="54"/>
      <c r="E16" s="54"/>
      <c r="F16" s="54"/>
      <c r="G16" s="54"/>
    </row>
    <row r="17" spans="1:7" x14ac:dyDescent="0.2">
      <c r="A17" s="54"/>
      <c r="B17" s="54"/>
      <c r="C17" s="54"/>
      <c r="D17" s="54"/>
      <c r="E17" s="54"/>
      <c r="F17" s="54"/>
      <c r="G17" s="54"/>
    </row>
    <row r="18" spans="1:7" x14ac:dyDescent="0.2">
      <c r="A18" s="54"/>
      <c r="B18" s="54"/>
      <c r="C18" s="54"/>
      <c r="D18" s="54"/>
      <c r="E18" s="54"/>
      <c r="F18" s="54"/>
      <c r="G18" s="54"/>
    </row>
    <row r="19" spans="1:7" x14ac:dyDescent="0.2">
      <c r="A19" s="54"/>
      <c r="B19" s="54"/>
      <c r="C19" s="54"/>
      <c r="D19" s="54"/>
      <c r="E19" s="54"/>
      <c r="F19" s="54"/>
      <c r="G19" s="54"/>
    </row>
    <row r="20" spans="1:7" x14ac:dyDescent="0.2">
      <c r="A20" s="54"/>
      <c r="B20" s="54"/>
      <c r="C20" s="54"/>
      <c r="D20" s="54"/>
      <c r="E20" s="54"/>
      <c r="F20" s="54"/>
      <c r="G20" s="54"/>
    </row>
    <row r="21" spans="1:7" x14ac:dyDescent="0.2">
      <c r="A21" s="52" t="s">
        <v>469</v>
      </c>
      <c r="B21" s="52" t="s">
        <v>76</v>
      </c>
    </row>
    <row r="22" spans="1:7" x14ac:dyDescent="0.2">
      <c r="A22" s="52" t="s">
        <v>468</v>
      </c>
      <c r="B22" s="55">
        <v>46023</v>
      </c>
      <c r="C22" s="55">
        <v>46054</v>
      </c>
      <c r="D22" s="55">
        <v>46082</v>
      </c>
      <c r="E22" s="55">
        <v>46113</v>
      </c>
      <c r="F22" s="55">
        <v>46143</v>
      </c>
      <c r="G22" s="55" t="s">
        <v>467</v>
      </c>
    </row>
    <row r="23" spans="1:7" x14ac:dyDescent="0.2">
      <c r="A23" s="42" t="s">
        <v>70</v>
      </c>
      <c r="B23" s="53">
        <v>26300.71</v>
      </c>
      <c r="C23" s="53">
        <v>13036.2</v>
      </c>
      <c r="D23" s="53">
        <v>43452.27</v>
      </c>
      <c r="E23" s="53"/>
      <c r="F23" s="53">
        <v>38369.78</v>
      </c>
      <c r="G23" s="53">
        <v>121158.95999999999</v>
      </c>
    </row>
    <row r="24" spans="1:7" x14ac:dyDescent="0.2">
      <c r="A24" s="42" t="s">
        <v>14</v>
      </c>
      <c r="B24" s="53">
        <v>520182.63</v>
      </c>
      <c r="C24" s="53">
        <v>517138.24</v>
      </c>
      <c r="D24" s="53">
        <v>730575.57</v>
      </c>
      <c r="E24" s="53">
        <v>711183.92999999993</v>
      </c>
      <c r="F24" s="53">
        <v>864385.16999999993</v>
      </c>
      <c r="G24" s="53">
        <v>3343465.54</v>
      </c>
    </row>
    <row r="25" spans="1:7" x14ac:dyDescent="0.2">
      <c r="A25" s="90" t="s">
        <v>14</v>
      </c>
      <c r="B25" s="53">
        <v>130905.36999999998</v>
      </c>
      <c r="C25" s="53">
        <v>105499.76</v>
      </c>
      <c r="D25" s="53">
        <v>113375.16000000002</v>
      </c>
      <c r="E25" s="53">
        <v>183702.89999999997</v>
      </c>
      <c r="F25" s="53">
        <v>169398.23999999996</v>
      </c>
      <c r="G25" s="53">
        <v>702881.42999999993</v>
      </c>
    </row>
    <row r="26" spans="1:7" x14ac:dyDescent="0.2">
      <c r="A26" s="90" t="s">
        <v>15</v>
      </c>
      <c r="B26" s="53">
        <v>265308.31</v>
      </c>
      <c r="C26" s="53">
        <v>289639.49</v>
      </c>
      <c r="D26" s="53">
        <v>277738.11999999988</v>
      </c>
      <c r="E26" s="53">
        <v>303734.84999999992</v>
      </c>
      <c r="F26" s="53">
        <v>579618.97</v>
      </c>
      <c r="G26" s="53">
        <v>1716039.7399999998</v>
      </c>
    </row>
    <row r="27" spans="1:7" x14ac:dyDescent="0.2">
      <c r="A27" s="90" t="s">
        <v>13</v>
      </c>
      <c r="B27" s="53">
        <v>123968.95000000001</v>
      </c>
      <c r="C27" s="53">
        <v>121998.99</v>
      </c>
      <c r="D27" s="53">
        <v>339462.29000000004</v>
      </c>
      <c r="E27" s="53">
        <v>223746.18000000011</v>
      </c>
      <c r="F27" s="53">
        <v>115367.95999999999</v>
      </c>
      <c r="G27" s="53">
        <v>924544.37000000011</v>
      </c>
    </row>
    <row r="28" spans="1:7" x14ac:dyDescent="0.2">
      <c r="A28" s="42" t="s">
        <v>467</v>
      </c>
      <c r="B28" s="53">
        <v>546483.34000000008</v>
      </c>
      <c r="C28" s="53">
        <v>530174.43999999994</v>
      </c>
      <c r="D28" s="53">
        <v>774027.84</v>
      </c>
      <c r="E28" s="53">
        <v>711183.92999999993</v>
      </c>
      <c r="F28" s="53">
        <v>902754.95</v>
      </c>
      <c r="G28" s="53">
        <v>3464624.5</v>
      </c>
    </row>
  </sheetData>
  <mergeCells count="1">
    <mergeCell ref="A2:G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42D6-F47A-4ADA-A7EE-B5AED2B04BC0}">
  <sheetPr>
    <tabColor theme="6" tint="-0.499984740745262"/>
  </sheetPr>
  <dimension ref="A1:M808"/>
  <sheetViews>
    <sheetView zoomScale="80" zoomScaleNormal="80" workbookViewId="0">
      <selection activeCell="K1" sqref="K1"/>
    </sheetView>
  </sheetViews>
  <sheetFormatPr baseColWidth="10" defaultColWidth="8.83203125" defaultRowHeight="15" x14ac:dyDescent="0.2"/>
  <cols>
    <col min="2" max="2" width="19.1640625" customWidth="1"/>
    <col min="3" max="3" width="16.1640625" customWidth="1"/>
    <col min="4" max="4" width="42.5" customWidth="1"/>
    <col min="5" max="5" width="142.6640625" customWidth="1"/>
    <col min="6" max="6" width="10.33203125" customWidth="1"/>
    <col min="7" max="7" width="40.6640625" customWidth="1"/>
    <col min="8" max="8" width="13.5" customWidth="1"/>
    <col min="9" max="9" width="8.5" customWidth="1"/>
    <col min="10" max="10" width="35.5" customWidth="1"/>
    <col min="11" max="11" width="15" bestFit="1" customWidth="1"/>
    <col min="12" max="12" width="13.5" bestFit="1" customWidth="1"/>
  </cols>
  <sheetData>
    <row r="1" spans="1:13" x14ac:dyDescent="0.2">
      <c r="K1" s="2">
        <f>SUBTOTAL(9,K3:K808)</f>
        <v>3464624.4999999995</v>
      </c>
      <c r="L1" s="2"/>
      <c r="M1" s="2"/>
    </row>
    <row r="2" spans="1:13" ht="30" x14ac:dyDescent="0.2">
      <c r="A2" s="38" t="s">
        <v>441</v>
      </c>
      <c r="B2" s="38" t="s">
        <v>78</v>
      </c>
      <c r="C2" s="38" t="s">
        <v>664</v>
      </c>
      <c r="D2" s="38" t="s">
        <v>705</v>
      </c>
      <c r="E2" s="38" t="s">
        <v>665</v>
      </c>
      <c r="F2" s="38" t="s">
        <v>80</v>
      </c>
      <c r="G2" s="38" t="s">
        <v>99</v>
      </c>
      <c r="H2" s="38" t="s">
        <v>100</v>
      </c>
      <c r="I2" s="38" t="s">
        <v>706</v>
      </c>
      <c r="J2" s="38" t="s">
        <v>708</v>
      </c>
      <c r="K2" s="38" t="s">
        <v>101</v>
      </c>
    </row>
    <row r="3" spans="1:13" x14ac:dyDescent="0.2">
      <c r="A3" s="43">
        <v>46023</v>
      </c>
      <c r="B3" t="s">
        <v>35</v>
      </c>
      <c r="C3" s="21">
        <v>38001013002</v>
      </c>
      <c r="D3" t="s">
        <v>34</v>
      </c>
      <c r="E3" s="39" t="s">
        <v>470</v>
      </c>
      <c r="F3" s="21">
        <v>1159</v>
      </c>
      <c r="G3" t="s">
        <v>14</v>
      </c>
      <c r="H3" s="21">
        <v>47</v>
      </c>
      <c r="I3" s="21">
        <v>1150</v>
      </c>
      <c r="J3" t="s">
        <v>15</v>
      </c>
      <c r="K3" s="41">
        <v>-279.60000000000002</v>
      </c>
    </row>
    <row r="4" spans="1:13" x14ac:dyDescent="0.2">
      <c r="A4" s="43">
        <v>46023</v>
      </c>
      <c r="B4" t="s">
        <v>35</v>
      </c>
      <c r="C4" s="21">
        <v>38001013001</v>
      </c>
      <c r="D4" t="s">
        <v>35</v>
      </c>
      <c r="E4" s="39" t="s">
        <v>471</v>
      </c>
      <c r="F4" s="21">
        <v>1159</v>
      </c>
      <c r="G4" t="s">
        <v>14</v>
      </c>
      <c r="H4" s="21">
        <v>47</v>
      </c>
      <c r="I4" s="21">
        <v>1150</v>
      </c>
      <c r="J4" t="s">
        <v>15</v>
      </c>
      <c r="K4" s="41">
        <v>638.1</v>
      </c>
    </row>
    <row r="5" spans="1:13" x14ac:dyDescent="0.2">
      <c r="A5" s="43">
        <v>46023</v>
      </c>
      <c r="B5" t="s">
        <v>35</v>
      </c>
      <c r="C5" s="21">
        <v>38001013001</v>
      </c>
      <c r="D5" t="s">
        <v>35</v>
      </c>
      <c r="E5" s="39" t="s">
        <v>472</v>
      </c>
      <c r="F5" s="21">
        <v>1159</v>
      </c>
      <c r="G5" t="s">
        <v>14</v>
      </c>
      <c r="H5" s="21">
        <v>47</v>
      </c>
      <c r="I5" s="21">
        <v>1159</v>
      </c>
      <c r="J5" t="s">
        <v>14</v>
      </c>
      <c r="K5" s="41">
        <v>530.4</v>
      </c>
    </row>
    <row r="6" spans="1:13" x14ac:dyDescent="0.2">
      <c r="A6" s="43">
        <v>46023</v>
      </c>
      <c r="B6" t="s">
        <v>35</v>
      </c>
      <c r="C6" s="21">
        <v>38001013001</v>
      </c>
      <c r="D6" t="s">
        <v>35</v>
      </c>
      <c r="E6" s="39" t="s">
        <v>473</v>
      </c>
      <c r="F6" s="21">
        <v>1159</v>
      </c>
      <c r="G6" t="s">
        <v>14</v>
      </c>
      <c r="H6" s="21">
        <v>47</v>
      </c>
      <c r="I6" s="21">
        <v>1160</v>
      </c>
      <c r="J6" t="s">
        <v>13</v>
      </c>
      <c r="K6" s="41">
        <v>538.19000000000005</v>
      </c>
    </row>
    <row r="7" spans="1:13" x14ac:dyDescent="0.2">
      <c r="A7" s="43">
        <v>46023</v>
      </c>
      <c r="B7" t="s">
        <v>35</v>
      </c>
      <c r="C7" s="21">
        <v>38001013002</v>
      </c>
      <c r="D7" t="s">
        <v>34</v>
      </c>
      <c r="E7" s="39" t="s">
        <v>474</v>
      </c>
      <c r="F7" s="21">
        <v>1159</v>
      </c>
      <c r="G7" t="s">
        <v>14</v>
      </c>
      <c r="H7" s="21">
        <v>47</v>
      </c>
      <c r="I7" s="21">
        <v>1150</v>
      </c>
      <c r="J7" t="s">
        <v>15</v>
      </c>
      <c r="K7" s="41">
        <v>664.38</v>
      </c>
    </row>
    <row r="8" spans="1:13" x14ac:dyDescent="0.2">
      <c r="A8" s="43">
        <v>46023</v>
      </c>
      <c r="B8" t="s">
        <v>35</v>
      </c>
      <c r="C8" s="21">
        <v>38001013002</v>
      </c>
      <c r="D8" t="s">
        <v>34</v>
      </c>
      <c r="E8" s="39" t="s">
        <v>475</v>
      </c>
      <c r="F8" s="21">
        <v>1159</v>
      </c>
      <c r="G8" t="s">
        <v>14</v>
      </c>
      <c r="H8" s="21">
        <v>47</v>
      </c>
      <c r="I8" s="21">
        <v>1150</v>
      </c>
      <c r="J8" t="s">
        <v>15</v>
      </c>
      <c r="K8" s="41">
        <v>1462</v>
      </c>
    </row>
    <row r="9" spans="1:13" x14ac:dyDescent="0.2">
      <c r="A9" s="43">
        <v>46023</v>
      </c>
      <c r="B9" t="s">
        <v>35</v>
      </c>
      <c r="C9" s="21">
        <v>38001013002</v>
      </c>
      <c r="D9" t="s">
        <v>34</v>
      </c>
      <c r="E9" s="39" t="s">
        <v>476</v>
      </c>
      <c r="F9" s="21">
        <v>1159</v>
      </c>
      <c r="G9" t="s">
        <v>14</v>
      </c>
      <c r="H9" s="21">
        <v>47</v>
      </c>
      <c r="I9" s="21">
        <v>1150</v>
      </c>
      <c r="J9" t="s">
        <v>15</v>
      </c>
      <c r="K9" s="41">
        <v>4524.32</v>
      </c>
    </row>
    <row r="10" spans="1:13" x14ac:dyDescent="0.2">
      <c r="A10" s="43">
        <v>46023</v>
      </c>
      <c r="B10" t="s">
        <v>35</v>
      </c>
      <c r="C10" s="21">
        <v>38001013002</v>
      </c>
      <c r="D10" t="s">
        <v>34</v>
      </c>
      <c r="E10" s="39" t="s">
        <v>477</v>
      </c>
      <c r="F10" s="21">
        <v>1159</v>
      </c>
      <c r="G10" t="s">
        <v>14</v>
      </c>
      <c r="H10" s="21">
        <v>47</v>
      </c>
      <c r="I10" s="21">
        <v>1159</v>
      </c>
      <c r="J10" t="s">
        <v>14</v>
      </c>
      <c r="K10" s="41">
        <v>1641.89</v>
      </c>
    </row>
    <row r="11" spans="1:13" x14ac:dyDescent="0.2">
      <c r="A11" s="43">
        <v>46023</v>
      </c>
      <c r="B11" t="s">
        <v>35</v>
      </c>
      <c r="C11" s="21">
        <v>38001013002</v>
      </c>
      <c r="D11" t="s">
        <v>34</v>
      </c>
      <c r="E11" s="39" t="s">
        <v>478</v>
      </c>
      <c r="F11" s="21">
        <v>1159</v>
      </c>
      <c r="G11" t="s">
        <v>14</v>
      </c>
      <c r="H11" s="21">
        <v>47</v>
      </c>
      <c r="I11" s="21">
        <v>1159</v>
      </c>
      <c r="J11" t="s">
        <v>14</v>
      </c>
      <c r="K11" s="41">
        <v>3460.89</v>
      </c>
    </row>
    <row r="12" spans="1:13" x14ac:dyDescent="0.2">
      <c r="A12" s="43">
        <v>46023</v>
      </c>
      <c r="B12" t="s">
        <v>35</v>
      </c>
      <c r="C12" s="21">
        <v>38001013002</v>
      </c>
      <c r="D12" t="s">
        <v>34</v>
      </c>
      <c r="E12" s="39" t="s">
        <v>479</v>
      </c>
      <c r="F12" s="21">
        <v>1159</v>
      </c>
      <c r="G12" t="s">
        <v>14</v>
      </c>
      <c r="H12" s="21">
        <v>47</v>
      </c>
      <c r="I12" s="21">
        <v>1160</v>
      </c>
      <c r="J12" t="s">
        <v>13</v>
      </c>
      <c r="K12" s="41">
        <v>216.64</v>
      </c>
    </row>
    <row r="13" spans="1:13" x14ac:dyDescent="0.2">
      <c r="A13" s="43">
        <v>46023</v>
      </c>
      <c r="B13" t="s">
        <v>35</v>
      </c>
      <c r="C13" s="21">
        <v>38001013002</v>
      </c>
      <c r="D13" t="s">
        <v>34</v>
      </c>
      <c r="E13" s="39" t="s">
        <v>480</v>
      </c>
      <c r="F13" s="21">
        <v>1159</v>
      </c>
      <c r="G13" t="s">
        <v>14</v>
      </c>
      <c r="H13" s="21">
        <v>47</v>
      </c>
      <c r="I13" s="21">
        <v>1160</v>
      </c>
      <c r="J13" t="s">
        <v>13</v>
      </c>
      <c r="K13" s="41">
        <v>1498.63</v>
      </c>
    </row>
    <row r="14" spans="1:13" x14ac:dyDescent="0.2">
      <c r="A14" s="43">
        <v>46023</v>
      </c>
      <c r="B14" t="s">
        <v>35</v>
      </c>
      <c r="C14" s="21">
        <v>38001013002</v>
      </c>
      <c r="D14" t="s">
        <v>34</v>
      </c>
      <c r="E14" s="39" t="s">
        <v>481</v>
      </c>
      <c r="F14" s="21">
        <v>1159</v>
      </c>
      <c r="G14" t="s">
        <v>14</v>
      </c>
      <c r="H14" s="21">
        <v>47</v>
      </c>
      <c r="I14" s="21">
        <v>1160</v>
      </c>
      <c r="J14" t="s">
        <v>13</v>
      </c>
      <c r="K14" s="41">
        <v>3629.31</v>
      </c>
    </row>
    <row r="15" spans="1:13" x14ac:dyDescent="0.2">
      <c r="A15" s="43">
        <v>46023</v>
      </c>
      <c r="B15" t="s">
        <v>35</v>
      </c>
      <c r="C15" s="21">
        <v>38001013002</v>
      </c>
      <c r="D15" t="s">
        <v>34</v>
      </c>
      <c r="E15" s="39" t="s">
        <v>482</v>
      </c>
      <c r="F15" s="21">
        <v>1159</v>
      </c>
      <c r="G15" t="s">
        <v>14</v>
      </c>
      <c r="H15" s="21">
        <v>47</v>
      </c>
      <c r="I15" s="21">
        <v>1150</v>
      </c>
      <c r="J15" t="s">
        <v>15</v>
      </c>
      <c r="K15" s="41">
        <v>-1650</v>
      </c>
    </row>
    <row r="16" spans="1:13" x14ac:dyDescent="0.2">
      <c r="A16" s="43">
        <v>46023</v>
      </c>
      <c r="B16" t="s">
        <v>35</v>
      </c>
      <c r="C16" s="21">
        <v>38001013002</v>
      </c>
      <c r="D16" t="s">
        <v>34</v>
      </c>
      <c r="E16" s="39" t="s">
        <v>482</v>
      </c>
      <c r="F16" s="21">
        <v>1159</v>
      </c>
      <c r="G16" t="s">
        <v>14</v>
      </c>
      <c r="H16" s="21">
        <v>47</v>
      </c>
      <c r="I16" s="21">
        <v>1160</v>
      </c>
      <c r="J16" t="s">
        <v>13</v>
      </c>
      <c r="K16" s="41">
        <v>-1650</v>
      </c>
    </row>
    <row r="17" spans="1:11" x14ac:dyDescent="0.2">
      <c r="A17" s="43">
        <v>46023</v>
      </c>
      <c r="B17" t="s">
        <v>35</v>
      </c>
      <c r="C17" s="21">
        <v>38001013002</v>
      </c>
      <c r="D17" t="s">
        <v>34</v>
      </c>
      <c r="E17" s="39" t="s">
        <v>483</v>
      </c>
      <c r="F17" s="21">
        <v>1159</v>
      </c>
      <c r="G17" t="s">
        <v>14</v>
      </c>
      <c r="H17" s="21">
        <v>47</v>
      </c>
      <c r="I17" s="21">
        <v>1150</v>
      </c>
      <c r="J17" t="s">
        <v>15</v>
      </c>
      <c r="K17" s="41">
        <v>-647.4</v>
      </c>
    </row>
    <row r="18" spans="1:11" x14ac:dyDescent="0.2">
      <c r="A18" s="43">
        <v>46023</v>
      </c>
      <c r="B18" t="s">
        <v>35</v>
      </c>
      <c r="C18" s="21">
        <v>38001013002</v>
      </c>
      <c r="D18" t="s">
        <v>34</v>
      </c>
      <c r="E18" s="39" t="s">
        <v>484</v>
      </c>
      <c r="F18" s="21">
        <v>1159</v>
      </c>
      <c r="G18" t="s">
        <v>14</v>
      </c>
      <c r="H18" s="21">
        <v>47</v>
      </c>
      <c r="I18" s="21">
        <v>1150</v>
      </c>
      <c r="J18" t="s">
        <v>15</v>
      </c>
      <c r="K18" s="41">
        <v>-870.96</v>
      </c>
    </row>
    <row r="19" spans="1:11" x14ac:dyDescent="0.2">
      <c r="A19" s="43">
        <v>46023</v>
      </c>
      <c r="B19" t="s">
        <v>35</v>
      </c>
      <c r="C19" s="21">
        <v>38001013002</v>
      </c>
      <c r="D19" t="s">
        <v>34</v>
      </c>
      <c r="E19" s="39" t="s">
        <v>485</v>
      </c>
      <c r="F19" s="21">
        <v>1159</v>
      </c>
      <c r="G19" t="s">
        <v>14</v>
      </c>
      <c r="H19" s="21">
        <v>47</v>
      </c>
      <c r="I19" s="21">
        <v>1159</v>
      </c>
      <c r="J19" t="s">
        <v>14</v>
      </c>
      <c r="K19" s="41">
        <v>-647.4</v>
      </c>
    </row>
    <row r="20" spans="1:11" x14ac:dyDescent="0.2">
      <c r="A20" s="43">
        <v>46023</v>
      </c>
      <c r="B20" t="s">
        <v>35</v>
      </c>
      <c r="C20" s="21">
        <v>38001013002</v>
      </c>
      <c r="D20" t="s">
        <v>34</v>
      </c>
      <c r="E20" s="39" t="s">
        <v>486</v>
      </c>
      <c r="F20" s="21">
        <v>1159</v>
      </c>
      <c r="G20" t="s">
        <v>14</v>
      </c>
      <c r="H20" s="21">
        <v>47</v>
      </c>
      <c r="I20" s="21">
        <v>1160</v>
      </c>
      <c r="J20" t="s">
        <v>13</v>
      </c>
      <c r="K20" s="41">
        <v>-431.6</v>
      </c>
    </row>
    <row r="21" spans="1:11" x14ac:dyDescent="0.2">
      <c r="A21" s="43">
        <v>46023</v>
      </c>
      <c r="B21" t="s">
        <v>35</v>
      </c>
      <c r="C21" s="21">
        <v>38001013002</v>
      </c>
      <c r="D21" t="s">
        <v>34</v>
      </c>
      <c r="E21" s="39" t="s">
        <v>487</v>
      </c>
      <c r="F21" s="21">
        <v>1159</v>
      </c>
      <c r="G21" t="s">
        <v>14</v>
      </c>
      <c r="H21" s="21">
        <v>47</v>
      </c>
      <c r="I21" s="21">
        <v>1160</v>
      </c>
      <c r="J21" t="s">
        <v>13</v>
      </c>
      <c r="K21" s="41">
        <v>-655.16</v>
      </c>
    </row>
    <row r="22" spans="1:11" x14ac:dyDescent="0.2">
      <c r="A22" s="43">
        <v>46023</v>
      </c>
      <c r="B22" t="s">
        <v>35</v>
      </c>
      <c r="C22" s="21">
        <v>38001013001</v>
      </c>
      <c r="D22" t="s">
        <v>35</v>
      </c>
      <c r="E22" s="39" t="s">
        <v>488</v>
      </c>
      <c r="F22" s="21">
        <v>1159</v>
      </c>
      <c r="G22" t="s">
        <v>14</v>
      </c>
      <c r="H22" s="21">
        <v>47</v>
      </c>
      <c r="I22" s="21">
        <v>1150</v>
      </c>
      <c r="J22" t="s">
        <v>15</v>
      </c>
      <c r="K22" s="41">
        <v>7976.39</v>
      </c>
    </row>
    <row r="23" spans="1:11" x14ac:dyDescent="0.2">
      <c r="A23" s="43">
        <v>46023</v>
      </c>
      <c r="B23" t="s">
        <v>35</v>
      </c>
      <c r="C23" s="21">
        <v>38001013001</v>
      </c>
      <c r="D23" t="s">
        <v>35</v>
      </c>
      <c r="E23" s="39" t="s">
        <v>489</v>
      </c>
      <c r="F23" s="21">
        <v>1159</v>
      </c>
      <c r="G23" t="s">
        <v>14</v>
      </c>
      <c r="H23" s="21">
        <v>47</v>
      </c>
      <c r="I23" s="21">
        <v>1159</v>
      </c>
      <c r="J23" t="s">
        <v>14</v>
      </c>
      <c r="K23" s="41">
        <v>6630.07</v>
      </c>
    </row>
    <row r="24" spans="1:11" x14ac:dyDescent="0.2">
      <c r="A24" s="43">
        <v>46023</v>
      </c>
      <c r="B24" t="s">
        <v>35</v>
      </c>
      <c r="C24" s="21">
        <v>38001013001</v>
      </c>
      <c r="D24" t="s">
        <v>35</v>
      </c>
      <c r="E24" s="39" t="s">
        <v>490</v>
      </c>
      <c r="F24" s="21">
        <v>1159</v>
      </c>
      <c r="G24" t="s">
        <v>14</v>
      </c>
      <c r="H24" s="21">
        <v>47</v>
      </c>
      <c r="I24" s="21">
        <v>1160</v>
      </c>
      <c r="J24" t="s">
        <v>13</v>
      </c>
      <c r="K24" s="41">
        <v>6727.47</v>
      </c>
    </row>
    <row r="25" spans="1:11" x14ac:dyDescent="0.2">
      <c r="A25" s="43">
        <v>46023</v>
      </c>
      <c r="B25" t="s">
        <v>35</v>
      </c>
      <c r="C25" s="21">
        <v>38001013002</v>
      </c>
      <c r="D25" t="s">
        <v>34</v>
      </c>
      <c r="E25" s="39" t="s">
        <v>491</v>
      </c>
      <c r="F25" s="21">
        <v>1159</v>
      </c>
      <c r="G25" t="s">
        <v>14</v>
      </c>
      <c r="H25" s="21">
        <v>47</v>
      </c>
      <c r="I25" s="21">
        <v>1150</v>
      </c>
      <c r="J25" t="s">
        <v>15</v>
      </c>
      <c r="K25" s="41">
        <v>-131.46</v>
      </c>
    </row>
    <row r="26" spans="1:11" x14ac:dyDescent="0.2">
      <c r="A26" s="43">
        <v>46023</v>
      </c>
      <c r="B26" t="s">
        <v>35</v>
      </c>
      <c r="C26" s="21">
        <v>38001013002</v>
      </c>
      <c r="D26" t="s">
        <v>34</v>
      </c>
      <c r="E26" s="39" t="s">
        <v>492</v>
      </c>
      <c r="F26" s="21">
        <v>1159</v>
      </c>
      <c r="G26" t="s">
        <v>14</v>
      </c>
      <c r="H26" s="21">
        <v>47</v>
      </c>
      <c r="I26" s="21">
        <v>1159</v>
      </c>
      <c r="J26" t="s">
        <v>14</v>
      </c>
      <c r="K26" s="41">
        <v>-46.3</v>
      </c>
    </row>
    <row r="27" spans="1:11" x14ac:dyDescent="0.2">
      <c r="A27" s="43">
        <v>46023</v>
      </c>
      <c r="B27" t="s">
        <v>35</v>
      </c>
      <c r="C27" s="21">
        <v>38001013002</v>
      </c>
      <c r="D27" t="s">
        <v>34</v>
      </c>
      <c r="E27" s="39" t="s">
        <v>493</v>
      </c>
      <c r="F27" s="21">
        <v>1159</v>
      </c>
      <c r="G27" t="s">
        <v>14</v>
      </c>
      <c r="H27" s="21">
        <v>47</v>
      </c>
      <c r="I27" s="21">
        <v>1160</v>
      </c>
      <c r="J27" t="s">
        <v>13</v>
      </c>
      <c r="K27" s="41">
        <v>-24.02</v>
      </c>
    </row>
    <row r="28" spans="1:11" x14ac:dyDescent="0.2">
      <c r="A28" s="43">
        <v>46023</v>
      </c>
      <c r="B28" t="s">
        <v>35</v>
      </c>
      <c r="C28" s="21">
        <v>38001013002</v>
      </c>
      <c r="D28" t="s">
        <v>34</v>
      </c>
      <c r="E28" s="39" t="s">
        <v>494</v>
      </c>
      <c r="F28" s="21">
        <v>1159</v>
      </c>
      <c r="G28" t="s">
        <v>14</v>
      </c>
      <c r="H28" s="21">
        <v>47</v>
      </c>
      <c r="I28" s="21">
        <v>1150</v>
      </c>
      <c r="J28" t="s">
        <v>15</v>
      </c>
      <c r="K28" s="41">
        <v>7800.57</v>
      </c>
    </row>
    <row r="29" spans="1:11" x14ac:dyDescent="0.2">
      <c r="A29" s="43">
        <v>46023</v>
      </c>
      <c r="B29" t="s">
        <v>35</v>
      </c>
      <c r="C29" s="21">
        <v>38001013002</v>
      </c>
      <c r="D29" t="s">
        <v>34</v>
      </c>
      <c r="E29" s="39" t="s">
        <v>495</v>
      </c>
      <c r="F29" s="21">
        <v>1159</v>
      </c>
      <c r="G29" t="s">
        <v>14</v>
      </c>
      <c r="H29" s="21">
        <v>47</v>
      </c>
      <c r="I29" s="21">
        <v>1159</v>
      </c>
      <c r="J29" t="s">
        <v>14</v>
      </c>
      <c r="K29" s="41">
        <v>5967.06</v>
      </c>
    </row>
    <row r="30" spans="1:11" x14ac:dyDescent="0.2">
      <c r="A30" s="43">
        <v>46023</v>
      </c>
      <c r="B30" t="s">
        <v>35</v>
      </c>
      <c r="C30" s="21">
        <v>38001013002</v>
      </c>
      <c r="D30" t="s">
        <v>34</v>
      </c>
      <c r="E30" s="39" t="s">
        <v>496</v>
      </c>
      <c r="F30" s="21">
        <v>1159</v>
      </c>
      <c r="G30" t="s">
        <v>14</v>
      </c>
      <c r="H30" s="21">
        <v>47</v>
      </c>
      <c r="I30" s="21">
        <v>1160</v>
      </c>
      <c r="J30" t="s">
        <v>13</v>
      </c>
      <c r="K30" s="41">
        <v>6257.45</v>
      </c>
    </row>
    <row r="31" spans="1:11" x14ac:dyDescent="0.2">
      <c r="A31" s="43">
        <v>46023</v>
      </c>
      <c r="B31" t="s">
        <v>35</v>
      </c>
      <c r="C31" s="21">
        <v>38001013001</v>
      </c>
      <c r="D31" t="s">
        <v>35</v>
      </c>
      <c r="E31" s="39" t="s">
        <v>497</v>
      </c>
      <c r="F31" s="21">
        <v>1159</v>
      </c>
      <c r="G31" t="s">
        <v>14</v>
      </c>
      <c r="H31" s="21">
        <v>47</v>
      </c>
      <c r="I31" s="21">
        <v>1150</v>
      </c>
      <c r="J31" t="s">
        <v>15</v>
      </c>
      <c r="K31" s="41">
        <v>5982.31</v>
      </c>
    </row>
    <row r="32" spans="1:11" x14ac:dyDescent="0.2">
      <c r="A32" s="43">
        <v>46023</v>
      </c>
      <c r="B32" t="s">
        <v>35</v>
      </c>
      <c r="C32" s="21">
        <v>38001013001</v>
      </c>
      <c r="D32" t="s">
        <v>35</v>
      </c>
      <c r="E32" s="39" t="s">
        <v>498</v>
      </c>
      <c r="F32" s="21">
        <v>1159</v>
      </c>
      <c r="G32" t="s">
        <v>14</v>
      </c>
      <c r="H32" s="21">
        <v>47</v>
      </c>
      <c r="I32" s="21">
        <v>1159</v>
      </c>
      <c r="J32" t="s">
        <v>14</v>
      </c>
      <c r="K32" s="41">
        <v>4972.55</v>
      </c>
    </row>
    <row r="33" spans="1:11" x14ac:dyDescent="0.2">
      <c r="A33" s="43">
        <v>46023</v>
      </c>
      <c r="B33" t="s">
        <v>35</v>
      </c>
      <c r="C33" s="21">
        <v>38001013001</v>
      </c>
      <c r="D33" t="s">
        <v>35</v>
      </c>
      <c r="E33" s="39" t="s">
        <v>499</v>
      </c>
      <c r="F33" s="21">
        <v>1159</v>
      </c>
      <c r="G33" t="s">
        <v>14</v>
      </c>
      <c r="H33" s="21">
        <v>47</v>
      </c>
      <c r="I33" s="21">
        <v>1160</v>
      </c>
      <c r="J33" t="s">
        <v>13</v>
      </c>
      <c r="K33" s="41">
        <v>5045.59</v>
      </c>
    </row>
    <row r="34" spans="1:11" x14ac:dyDescent="0.2">
      <c r="A34" s="43">
        <v>46023</v>
      </c>
      <c r="B34" t="s">
        <v>35</v>
      </c>
      <c r="C34" s="21">
        <v>38001013002</v>
      </c>
      <c r="D34" t="s">
        <v>34</v>
      </c>
      <c r="E34" s="39" t="s">
        <v>500</v>
      </c>
      <c r="F34" s="21">
        <v>1159</v>
      </c>
      <c r="G34" t="s">
        <v>14</v>
      </c>
      <c r="H34" s="21">
        <v>47</v>
      </c>
      <c r="I34" s="21">
        <v>1150</v>
      </c>
      <c r="J34" t="s">
        <v>15</v>
      </c>
      <c r="K34" s="41">
        <v>6240.41</v>
      </c>
    </row>
    <row r="35" spans="1:11" x14ac:dyDescent="0.2">
      <c r="A35" s="43">
        <v>46023</v>
      </c>
      <c r="B35" t="s">
        <v>35</v>
      </c>
      <c r="C35" s="21">
        <v>38001013002</v>
      </c>
      <c r="D35" t="s">
        <v>34</v>
      </c>
      <c r="E35" s="39" t="s">
        <v>501</v>
      </c>
      <c r="F35" s="21">
        <v>1159</v>
      </c>
      <c r="G35" t="s">
        <v>14</v>
      </c>
      <c r="H35" s="21">
        <v>47</v>
      </c>
      <c r="I35" s="21">
        <v>1159</v>
      </c>
      <c r="J35" t="s">
        <v>14</v>
      </c>
      <c r="K35" s="41">
        <v>4773.63</v>
      </c>
    </row>
    <row r="36" spans="1:11" x14ac:dyDescent="0.2">
      <c r="A36" s="43">
        <v>46023</v>
      </c>
      <c r="B36" t="s">
        <v>35</v>
      </c>
      <c r="C36" s="21">
        <v>38001013002</v>
      </c>
      <c r="D36" t="s">
        <v>34</v>
      </c>
      <c r="E36" s="39" t="s">
        <v>502</v>
      </c>
      <c r="F36" s="21">
        <v>1159</v>
      </c>
      <c r="G36" t="s">
        <v>14</v>
      </c>
      <c r="H36" s="21">
        <v>47</v>
      </c>
      <c r="I36" s="21">
        <v>1160</v>
      </c>
      <c r="J36" t="s">
        <v>13</v>
      </c>
      <c r="K36" s="41">
        <v>5005.93</v>
      </c>
    </row>
    <row r="37" spans="1:11" x14ac:dyDescent="0.2">
      <c r="A37" s="43">
        <v>46023</v>
      </c>
      <c r="B37" t="s">
        <v>35</v>
      </c>
      <c r="C37" s="21">
        <v>38001013001</v>
      </c>
      <c r="D37" t="s">
        <v>35</v>
      </c>
      <c r="E37" s="39" t="s">
        <v>503</v>
      </c>
      <c r="F37" s="21">
        <v>1159</v>
      </c>
      <c r="G37" t="s">
        <v>14</v>
      </c>
      <c r="H37" s="21">
        <v>47</v>
      </c>
      <c r="I37" s="21">
        <v>1150</v>
      </c>
      <c r="J37" t="s">
        <v>15</v>
      </c>
      <c r="K37" s="41">
        <v>836.64</v>
      </c>
    </row>
    <row r="38" spans="1:11" x14ac:dyDescent="0.2">
      <c r="A38" s="43">
        <v>46023</v>
      </c>
      <c r="B38" t="s">
        <v>35</v>
      </c>
      <c r="C38" s="21">
        <v>38001013001</v>
      </c>
      <c r="D38" t="s">
        <v>35</v>
      </c>
      <c r="E38" s="39" t="s">
        <v>504</v>
      </c>
      <c r="F38" s="21">
        <v>1159</v>
      </c>
      <c r="G38" t="s">
        <v>14</v>
      </c>
      <c r="H38" s="21">
        <v>47</v>
      </c>
      <c r="I38" s="21">
        <v>1159</v>
      </c>
      <c r="J38" t="s">
        <v>14</v>
      </c>
      <c r="K38" s="41">
        <v>650.35</v>
      </c>
    </row>
    <row r="39" spans="1:11" x14ac:dyDescent="0.2">
      <c r="A39" s="43">
        <v>46023</v>
      </c>
      <c r="B39" t="s">
        <v>35</v>
      </c>
      <c r="C39" s="21">
        <v>38001013001</v>
      </c>
      <c r="D39" t="s">
        <v>35</v>
      </c>
      <c r="E39" s="39" t="s">
        <v>505</v>
      </c>
      <c r="F39" s="21">
        <v>1159</v>
      </c>
      <c r="G39" t="s">
        <v>14</v>
      </c>
      <c r="H39" s="21">
        <v>47</v>
      </c>
      <c r="I39" s="21">
        <v>1160</v>
      </c>
      <c r="J39" t="s">
        <v>13</v>
      </c>
      <c r="K39" s="41">
        <v>643.55999999999995</v>
      </c>
    </row>
    <row r="40" spans="1:11" x14ac:dyDescent="0.2">
      <c r="A40" s="43">
        <v>46023</v>
      </c>
      <c r="B40" t="s">
        <v>35</v>
      </c>
      <c r="C40" s="21">
        <v>38001013002</v>
      </c>
      <c r="D40" t="s">
        <v>34</v>
      </c>
      <c r="E40" s="39" t="s">
        <v>506</v>
      </c>
      <c r="F40" s="21">
        <v>1159</v>
      </c>
      <c r="G40" t="s">
        <v>14</v>
      </c>
      <c r="H40" s="21">
        <v>47</v>
      </c>
      <c r="I40" s="21">
        <v>1150</v>
      </c>
      <c r="J40" t="s">
        <v>15</v>
      </c>
      <c r="K40" s="41">
        <v>0.67</v>
      </c>
    </row>
    <row r="41" spans="1:11" x14ac:dyDescent="0.2">
      <c r="A41" s="43">
        <v>46023</v>
      </c>
      <c r="B41" t="s">
        <v>35</v>
      </c>
      <c r="C41" s="21">
        <v>38001013002</v>
      </c>
      <c r="D41" t="s">
        <v>34</v>
      </c>
      <c r="E41" s="39" t="s">
        <v>507</v>
      </c>
      <c r="F41" s="21">
        <v>1159</v>
      </c>
      <c r="G41" t="s">
        <v>14</v>
      </c>
      <c r="H41" s="21">
        <v>47</v>
      </c>
      <c r="I41" s="21">
        <v>1150</v>
      </c>
      <c r="J41" t="s">
        <v>15</v>
      </c>
      <c r="K41" s="41">
        <v>53133.31</v>
      </c>
    </row>
    <row r="42" spans="1:11" x14ac:dyDescent="0.2">
      <c r="A42" s="43">
        <v>46023</v>
      </c>
      <c r="B42" t="s">
        <v>35</v>
      </c>
      <c r="C42" s="21">
        <v>38001013002</v>
      </c>
      <c r="D42" t="s">
        <v>34</v>
      </c>
      <c r="E42" s="39" t="s">
        <v>508</v>
      </c>
      <c r="F42" s="21">
        <v>1159</v>
      </c>
      <c r="G42" t="s">
        <v>14</v>
      </c>
      <c r="H42" s="21">
        <v>47</v>
      </c>
      <c r="I42" s="21">
        <v>1150</v>
      </c>
      <c r="J42" t="s">
        <v>15</v>
      </c>
      <c r="K42" s="41">
        <v>-0.67</v>
      </c>
    </row>
    <row r="43" spans="1:11" x14ac:dyDescent="0.2">
      <c r="A43" s="43">
        <v>46023</v>
      </c>
      <c r="B43" t="s">
        <v>35</v>
      </c>
      <c r="C43" s="21">
        <v>38001013002</v>
      </c>
      <c r="D43" t="s">
        <v>34</v>
      </c>
      <c r="E43" s="39" t="s">
        <v>509</v>
      </c>
      <c r="F43" s="21">
        <v>1159</v>
      </c>
      <c r="G43" t="s">
        <v>14</v>
      </c>
      <c r="H43" s="21">
        <v>47</v>
      </c>
      <c r="I43" s="21">
        <v>1159</v>
      </c>
      <c r="J43" t="s">
        <v>14</v>
      </c>
      <c r="K43" s="41">
        <v>59670.559999999998</v>
      </c>
    </row>
    <row r="44" spans="1:11" x14ac:dyDescent="0.2">
      <c r="A44" s="43">
        <v>46023</v>
      </c>
      <c r="B44" t="s">
        <v>35</v>
      </c>
      <c r="C44" s="21">
        <v>38001013002</v>
      </c>
      <c r="D44" t="s">
        <v>34</v>
      </c>
      <c r="E44" s="39" t="s">
        <v>510</v>
      </c>
      <c r="F44" s="21">
        <v>1159</v>
      </c>
      <c r="G44" t="s">
        <v>14</v>
      </c>
      <c r="H44" s="21">
        <v>47</v>
      </c>
      <c r="I44" s="21">
        <v>1160</v>
      </c>
      <c r="J44" t="s">
        <v>13</v>
      </c>
      <c r="K44" s="41">
        <v>54464.12</v>
      </c>
    </row>
    <row r="45" spans="1:11" x14ac:dyDescent="0.2">
      <c r="A45" s="43">
        <v>46023</v>
      </c>
      <c r="B45" t="s">
        <v>125</v>
      </c>
      <c r="C45" s="21">
        <v>38001027005</v>
      </c>
      <c r="D45" t="s">
        <v>188</v>
      </c>
      <c r="E45" s="39" t="s">
        <v>513</v>
      </c>
      <c r="F45" s="21">
        <v>1159</v>
      </c>
      <c r="G45" t="s">
        <v>14</v>
      </c>
      <c r="H45" s="21">
        <v>47</v>
      </c>
      <c r="I45" s="21">
        <v>1150</v>
      </c>
      <c r="J45" t="s">
        <v>15</v>
      </c>
      <c r="K45" s="41">
        <v>192.72</v>
      </c>
    </row>
    <row r="46" spans="1:11" x14ac:dyDescent="0.2">
      <c r="A46" s="43">
        <v>46023</v>
      </c>
      <c r="B46" t="s">
        <v>125</v>
      </c>
      <c r="C46" s="21">
        <v>38001027005</v>
      </c>
      <c r="D46" t="s">
        <v>188</v>
      </c>
      <c r="E46" s="39" t="s">
        <v>513</v>
      </c>
      <c r="F46" s="21">
        <v>1159</v>
      </c>
      <c r="G46" t="s">
        <v>14</v>
      </c>
      <c r="H46" s="21">
        <v>47</v>
      </c>
      <c r="I46" s="21">
        <v>1159</v>
      </c>
      <c r="J46" t="s">
        <v>14</v>
      </c>
      <c r="K46" s="41">
        <v>52.56</v>
      </c>
    </row>
    <row r="47" spans="1:11" x14ac:dyDescent="0.2">
      <c r="A47" s="43">
        <v>46023</v>
      </c>
      <c r="B47" t="s">
        <v>125</v>
      </c>
      <c r="C47" s="21">
        <v>38001027005</v>
      </c>
      <c r="D47" t="s">
        <v>188</v>
      </c>
      <c r="E47" s="39" t="s">
        <v>513</v>
      </c>
      <c r="F47" s="21">
        <v>1159</v>
      </c>
      <c r="G47" t="s">
        <v>14</v>
      </c>
      <c r="H47" s="21">
        <v>47</v>
      </c>
      <c r="I47" s="21">
        <v>1160</v>
      </c>
      <c r="J47" t="s">
        <v>13</v>
      </c>
      <c r="K47" s="41">
        <v>157.68</v>
      </c>
    </row>
    <row r="48" spans="1:11" x14ac:dyDescent="0.2">
      <c r="A48" s="43">
        <v>46023</v>
      </c>
      <c r="B48" t="s">
        <v>57</v>
      </c>
      <c r="C48" s="21">
        <v>38001018007</v>
      </c>
      <c r="D48" t="s">
        <v>56</v>
      </c>
      <c r="E48" s="39" t="s">
        <v>514</v>
      </c>
      <c r="F48" s="21">
        <v>1159</v>
      </c>
      <c r="G48" t="s">
        <v>14</v>
      </c>
      <c r="H48" s="21">
        <v>47</v>
      </c>
      <c r="I48" s="21">
        <v>1159</v>
      </c>
      <c r="J48" t="s">
        <v>14</v>
      </c>
      <c r="K48" s="41">
        <v>666.8</v>
      </c>
    </row>
    <row r="49" spans="1:11" x14ac:dyDescent="0.2">
      <c r="A49" s="43">
        <v>46023</v>
      </c>
      <c r="B49" t="s">
        <v>66</v>
      </c>
      <c r="C49" s="21">
        <v>38001011002</v>
      </c>
      <c r="D49" t="s">
        <v>67</v>
      </c>
      <c r="E49" s="39" t="s">
        <v>517</v>
      </c>
      <c r="F49" s="21">
        <v>1159</v>
      </c>
      <c r="G49" t="s">
        <v>14</v>
      </c>
      <c r="H49" s="21">
        <v>47</v>
      </c>
      <c r="I49" s="21">
        <v>1150</v>
      </c>
      <c r="J49" t="s">
        <v>15</v>
      </c>
      <c r="K49" s="41">
        <v>56402.77</v>
      </c>
    </row>
    <row r="50" spans="1:11" x14ac:dyDescent="0.2">
      <c r="A50" s="43">
        <v>46023</v>
      </c>
      <c r="B50" t="s">
        <v>66</v>
      </c>
      <c r="C50" s="21">
        <v>38001011004</v>
      </c>
      <c r="D50" t="s">
        <v>65</v>
      </c>
      <c r="E50" s="39" t="s">
        <v>518</v>
      </c>
      <c r="F50" s="21">
        <v>1159</v>
      </c>
      <c r="G50" t="s">
        <v>14</v>
      </c>
      <c r="H50" s="21">
        <v>47</v>
      </c>
      <c r="I50" s="21">
        <v>1150</v>
      </c>
      <c r="J50" t="s">
        <v>15</v>
      </c>
      <c r="K50" s="41">
        <v>583.98</v>
      </c>
    </row>
    <row r="51" spans="1:11" x14ac:dyDescent="0.2">
      <c r="A51" s="43">
        <v>46023</v>
      </c>
      <c r="B51" t="s">
        <v>41</v>
      </c>
      <c r="C51" s="21">
        <v>38001019004</v>
      </c>
      <c r="D51" t="s">
        <v>40</v>
      </c>
      <c r="E51" s="39" t="s">
        <v>519</v>
      </c>
      <c r="F51" s="21">
        <v>1159</v>
      </c>
      <c r="G51" t="s">
        <v>14</v>
      </c>
      <c r="H51" s="21">
        <v>47</v>
      </c>
      <c r="I51" s="21">
        <v>1159</v>
      </c>
      <c r="J51" t="s">
        <v>14</v>
      </c>
      <c r="K51" s="41">
        <v>643.08000000000004</v>
      </c>
    </row>
    <row r="52" spans="1:11" x14ac:dyDescent="0.2">
      <c r="A52" s="43">
        <v>46023</v>
      </c>
      <c r="B52" t="s">
        <v>46</v>
      </c>
      <c r="C52" s="21">
        <v>38001002001</v>
      </c>
      <c r="D52" t="s">
        <v>48</v>
      </c>
      <c r="E52" s="39" t="s">
        <v>520</v>
      </c>
      <c r="F52" s="21">
        <v>1159</v>
      </c>
      <c r="G52" t="s">
        <v>14</v>
      </c>
      <c r="H52" s="21">
        <v>47</v>
      </c>
      <c r="I52" s="21">
        <v>1160</v>
      </c>
      <c r="J52" t="s">
        <v>13</v>
      </c>
      <c r="K52" s="41">
        <v>3137.4</v>
      </c>
    </row>
    <row r="53" spans="1:11" x14ac:dyDescent="0.2">
      <c r="A53" s="43">
        <v>46023</v>
      </c>
      <c r="B53" t="s">
        <v>125</v>
      </c>
      <c r="C53" s="21">
        <v>38001027007</v>
      </c>
      <c r="D53" t="s">
        <v>126</v>
      </c>
      <c r="E53" s="39" t="s">
        <v>521</v>
      </c>
      <c r="F53" s="21">
        <v>1159</v>
      </c>
      <c r="G53" t="s">
        <v>14</v>
      </c>
      <c r="H53" s="21">
        <v>47</v>
      </c>
      <c r="I53" s="21">
        <v>1150</v>
      </c>
      <c r="J53" t="s">
        <v>15</v>
      </c>
      <c r="K53" s="41">
        <v>134.15</v>
      </c>
    </row>
    <row r="54" spans="1:11" x14ac:dyDescent="0.2">
      <c r="A54" s="43">
        <v>46023</v>
      </c>
      <c r="B54" t="s">
        <v>125</v>
      </c>
      <c r="C54" s="21">
        <v>38001027007</v>
      </c>
      <c r="D54" t="s">
        <v>126</v>
      </c>
      <c r="E54" s="39" t="s">
        <v>522</v>
      </c>
      <c r="F54" s="21">
        <v>1159</v>
      </c>
      <c r="G54" t="s">
        <v>14</v>
      </c>
      <c r="H54" s="21">
        <v>47</v>
      </c>
      <c r="I54" s="21">
        <v>1150</v>
      </c>
      <c r="J54" t="s">
        <v>15</v>
      </c>
      <c r="K54" s="41">
        <v>770.52</v>
      </c>
    </row>
    <row r="55" spans="1:11" x14ac:dyDescent="0.2">
      <c r="A55" s="43">
        <v>46023</v>
      </c>
      <c r="B55" t="s">
        <v>50</v>
      </c>
      <c r="C55" s="21">
        <v>38001008004</v>
      </c>
      <c r="D55" t="s">
        <v>49</v>
      </c>
      <c r="E55" s="39" t="s">
        <v>523</v>
      </c>
      <c r="F55" s="21">
        <v>1159</v>
      </c>
      <c r="G55" t="s">
        <v>14</v>
      </c>
      <c r="H55" s="21">
        <v>47</v>
      </c>
      <c r="I55" s="21">
        <v>1159</v>
      </c>
      <c r="J55" t="s">
        <v>14</v>
      </c>
      <c r="K55" s="41">
        <v>52.41</v>
      </c>
    </row>
    <row r="56" spans="1:11" x14ac:dyDescent="0.2">
      <c r="A56" s="43">
        <v>46023</v>
      </c>
      <c r="B56" t="s">
        <v>50</v>
      </c>
      <c r="C56" s="21">
        <v>38001008004</v>
      </c>
      <c r="D56" t="s">
        <v>49</v>
      </c>
      <c r="E56" s="39" t="s">
        <v>524</v>
      </c>
      <c r="F56" s="21">
        <v>1159</v>
      </c>
      <c r="G56" t="s">
        <v>14</v>
      </c>
      <c r="H56" s="21">
        <v>47</v>
      </c>
      <c r="I56" s="21">
        <v>1159</v>
      </c>
      <c r="J56" t="s">
        <v>14</v>
      </c>
      <c r="K56" s="41">
        <v>56</v>
      </c>
    </row>
    <row r="57" spans="1:11" x14ac:dyDescent="0.2">
      <c r="A57" s="43">
        <v>46023</v>
      </c>
      <c r="B57" t="s">
        <v>50</v>
      </c>
      <c r="C57" s="21">
        <v>38001008004</v>
      </c>
      <c r="D57" t="s">
        <v>49</v>
      </c>
      <c r="E57" s="39" t="s">
        <v>525</v>
      </c>
      <c r="F57" s="21">
        <v>1159</v>
      </c>
      <c r="G57" t="s">
        <v>14</v>
      </c>
      <c r="H57" s="21">
        <v>47</v>
      </c>
      <c r="I57" s="21">
        <v>1159</v>
      </c>
      <c r="J57" t="s">
        <v>14</v>
      </c>
      <c r="K57" s="41">
        <v>1110.5899999999999</v>
      </c>
    </row>
    <row r="58" spans="1:11" x14ac:dyDescent="0.2">
      <c r="A58" s="43">
        <v>46023</v>
      </c>
      <c r="B58" t="s">
        <v>35</v>
      </c>
      <c r="C58" s="21">
        <v>38001013002</v>
      </c>
      <c r="D58" t="s">
        <v>34</v>
      </c>
      <c r="E58" s="39" t="s">
        <v>482</v>
      </c>
      <c r="F58" s="21">
        <v>1159</v>
      </c>
      <c r="G58" t="s">
        <v>14</v>
      </c>
      <c r="H58" s="21">
        <v>47</v>
      </c>
      <c r="I58" s="21">
        <v>1150</v>
      </c>
      <c r="J58" t="s">
        <v>15</v>
      </c>
      <c r="K58" s="41">
        <v>1650</v>
      </c>
    </row>
    <row r="59" spans="1:11" x14ac:dyDescent="0.2">
      <c r="A59" s="43">
        <v>46023</v>
      </c>
      <c r="B59" t="s">
        <v>66</v>
      </c>
      <c r="C59" s="21">
        <v>38001011004</v>
      </c>
      <c r="D59" t="s">
        <v>65</v>
      </c>
      <c r="E59" s="39" t="s">
        <v>526</v>
      </c>
      <c r="F59" s="21">
        <v>1159</v>
      </c>
      <c r="G59" t="s">
        <v>14</v>
      </c>
      <c r="H59" s="21">
        <v>47</v>
      </c>
      <c r="I59" s="21">
        <v>1150</v>
      </c>
      <c r="J59" t="s">
        <v>15</v>
      </c>
      <c r="K59" s="41">
        <v>164.05</v>
      </c>
    </row>
    <row r="60" spans="1:11" x14ac:dyDescent="0.2">
      <c r="A60" s="43">
        <v>46023</v>
      </c>
      <c r="B60" t="s">
        <v>35</v>
      </c>
      <c r="C60" s="21">
        <v>38001013002</v>
      </c>
      <c r="D60" t="s">
        <v>34</v>
      </c>
      <c r="E60" s="39" t="s">
        <v>482</v>
      </c>
      <c r="F60" s="21">
        <v>1159</v>
      </c>
      <c r="G60" t="s">
        <v>14</v>
      </c>
      <c r="H60" s="21">
        <v>47</v>
      </c>
      <c r="I60" s="21">
        <v>1160</v>
      </c>
      <c r="J60" t="s">
        <v>13</v>
      </c>
      <c r="K60" s="41">
        <v>1650</v>
      </c>
    </row>
    <row r="61" spans="1:11" x14ac:dyDescent="0.2">
      <c r="A61" s="43">
        <v>46023</v>
      </c>
      <c r="B61" t="s">
        <v>41</v>
      </c>
      <c r="C61" s="21">
        <v>38001019005</v>
      </c>
      <c r="D61" t="s">
        <v>52</v>
      </c>
      <c r="E61" s="39" t="s">
        <v>527</v>
      </c>
      <c r="F61" s="21">
        <v>1159</v>
      </c>
      <c r="G61" t="s">
        <v>14</v>
      </c>
      <c r="H61" s="21">
        <v>47</v>
      </c>
      <c r="I61" s="21">
        <v>1159</v>
      </c>
      <c r="J61" t="s">
        <v>14</v>
      </c>
      <c r="K61" s="41">
        <v>1064.31</v>
      </c>
    </row>
    <row r="62" spans="1:11" x14ac:dyDescent="0.2">
      <c r="A62" s="43">
        <v>46023</v>
      </c>
      <c r="B62" t="s">
        <v>57</v>
      </c>
      <c r="C62" s="21">
        <v>38001018002</v>
      </c>
      <c r="D62" t="s">
        <v>59</v>
      </c>
      <c r="E62" s="39" t="s">
        <v>528</v>
      </c>
      <c r="F62" s="21">
        <v>1159</v>
      </c>
      <c r="G62" t="s">
        <v>14</v>
      </c>
      <c r="H62" s="21">
        <v>47</v>
      </c>
      <c r="I62" s="21">
        <v>1159</v>
      </c>
      <c r="J62" t="s">
        <v>14</v>
      </c>
      <c r="K62" s="41">
        <v>6900</v>
      </c>
    </row>
    <row r="63" spans="1:11" x14ac:dyDescent="0.2">
      <c r="A63" s="43">
        <v>46023</v>
      </c>
      <c r="B63" t="s">
        <v>57</v>
      </c>
      <c r="C63" s="21">
        <v>38001018001</v>
      </c>
      <c r="D63" t="s">
        <v>60</v>
      </c>
      <c r="E63" s="39" t="s">
        <v>530</v>
      </c>
      <c r="F63" s="21">
        <v>1159</v>
      </c>
      <c r="G63" t="s">
        <v>14</v>
      </c>
      <c r="H63" s="21">
        <v>47</v>
      </c>
      <c r="I63" s="21">
        <v>1159</v>
      </c>
      <c r="J63" t="s">
        <v>14</v>
      </c>
      <c r="K63" s="41">
        <v>2178.56</v>
      </c>
    </row>
    <row r="64" spans="1:11" x14ac:dyDescent="0.2">
      <c r="A64" s="43">
        <v>46023</v>
      </c>
      <c r="B64" t="s">
        <v>35</v>
      </c>
      <c r="C64" s="21">
        <v>38001013002</v>
      </c>
      <c r="D64" t="s">
        <v>34</v>
      </c>
      <c r="E64" s="39" t="s">
        <v>512</v>
      </c>
      <c r="F64" s="21">
        <v>1159</v>
      </c>
      <c r="G64" t="s">
        <v>14</v>
      </c>
      <c r="H64" s="21">
        <v>47</v>
      </c>
      <c r="I64" s="21">
        <v>1150</v>
      </c>
      <c r="J64" t="s">
        <v>15</v>
      </c>
      <c r="K64" s="41">
        <v>129.78</v>
      </c>
    </row>
    <row r="65" spans="1:11" x14ac:dyDescent="0.2">
      <c r="A65" s="43">
        <v>46023</v>
      </c>
      <c r="B65" t="s">
        <v>35</v>
      </c>
      <c r="C65" s="21">
        <v>38001013002</v>
      </c>
      <c r="D65" t="s">
        <v>34</v>
      </c>
      <c r="E65" s="39" t="s">
        <v>511</v>
      </c>
      <c r="F65" s="21">
        <v>1159</v>
      </c>
      <c r="G65" t="s">
        <v>14</v>
      </c>
      <c r="H65" s="21">
        <v>47</v>
      </c>
      <c r="I65" s="21">
        <v>1150</v>
      </c>
      <c r="J65" t="s">
        <v>15</v>
      </c>
      <c r="K65" s="41">
        <v>149.85</v>
      </c>
    </row>
    <row r="66" spans="1:11" x14ac:dyDescent="0.2">
      <c r="A66" s="43">
        <v>46023</v>
      </c>
      <c r="B66" t="s">
        <v>35</v>
      </c>
      <c r="C66" s="21">
        <v>38001013002</v>
      </c>
      <c r="D66" t="s">
        <v>34</v>
      </c>
      <c r="E66" s="39" t="s">
        <v>512</v>
      </c>
      <c r="F66" s="21">
        <v>1159</v>
      </c>
      <c r="G66" t="s">
        <v>14</v>
      </c>
      <c r="H66" s="21">
        <v>47</v>
      </c>
      <c r="I66" s="21">
        <v>1159</v>
      </c>
      <c r="J66" t="s">
        <v>14</v>
      </c>
      <c r="K66" s="41">
        <v>119.34</v>
      </c>
    </row>
    <row r="67" spans="1:11" x14ac:dyDescent="0.2">
      <c r="A67" s="43">
        <v>46023</v>
      </c>
      <c r="B67" t="s">
        <v>35</v>
      </c>
      <c r="C67" s="21">
        <v>38001013002</v>
      </c>
      <c r="D67" t="s">
        <v>34</v>
      </c>
      <c r="E67" s="39" t="s">
        <v>511</v>
      </c>
      <c r="F67" s="21">
        <v>1159</v>
      </c>
      <c r="G67" t="s">
        <v>14</v>
      </c>
      <c r="H67" s="21">
        <v>47</v>
      </c>
      <c r="I67" s="21">
        <v>1159</v>
      </c>
      <c r="J67" t="s">
        <v>14</v>
      </c>
      <c r="K67" s="41">
        <v>119.34</v>
      </c>
    </row>
    <row r="68" spans="1:11" x14ac:dyDescent="0.2">
      <c r="A68" s="43">
        <v>46023</v>
      </c>
      <c r="B68" t="s">
        <v>35</v>
      </c>
      <c r="C68" s="21">
        <v>38001013002</v>
      </c>
      <c r="D68" t="s">
        <v>34</v>
      </c>
      <c r="E68" s="39" t="s">
        <v>512</v>
      </c>
      <c r="F68" s="21">
        <v>1159</v>
      </c>
      <c r="G68" t="s">
        <v>14</v>
      </c>
      <c r="H68" s="21">
        <v>47</v>
      </c>
      <c r="I68" s="21">
        <v>1160</v>
      </c>
      <c r="J68" t="s">
        <v>13</v>
      </c>
      <c r="K68" s="41">
        <v>116.66</v>
      </c>
    </row>
    <row r="69" spans="1:11" x14ac:dyDescent="0.2">
      <c r="A69" s="43">
        <v>46023</v>
      </c>
      <c r="B69" t="s">
        <v>35</v>
      </c>
      <c r="C69" s="21">
        <v>38001013002</v>
      </c>
      <c r="D69" t="s">
        <v>34</v>
      </c>
      <c r="E69" s="39" t="s">
        <v>511</v>
      </c>
      <c r="F69" s="21">
        <v>1159</v>
      </c>
      <c r="G69" t="s">
        <v>14</v>
      </c>
      <c r="H69" s="21">
        <v>47</v>
      </c>
      <c r="I69" s="21">
        <v>1160</v>
      </c>
      <c r="J69" t="s">
        <v>13</v>
      </c>
      <c r="K69" s="41">
        <v>125.66</v>
      </c>
    </row>
    <row r="70" spans="1:11" x14ac:dyDescent="0.2">
      <c r="A70" s="43">
        <v>46023</v>
      </c>
      <c r="B70" t="s">
        <v>50</v>
      </c>
      <c r="C70" s="21">
        <v>38001008004</v>
      </c>
      <c r="D70" t="s">
        <v>49</v>
      </c>
      <c r="E70" s="39" t="s">
        <v>531</v>
      </c>
      <c r="F70" s="21">
        <v>1159</v>
      </c>
      <c r="G70" t="s">
        <v>14</v>
      </c>
      <c r="H70" s="21">
        <v>47</v>
      </c>
      <c r="I70" s="21">
        <v>1159</v>
      </c>
      <c r="J70" t="s">
        <v>14</v>
      </c>
      <c r="K70" s="41">
        <v>35</v>
      </c>
    </row>
    <row r="71" spans="1:11" x14ac:dyDescent="0.2">
      <c r="A71" s="43">
        <v>46023</v>
      </c>
      <c r="B71" t="s">
        <v>50</v>
      </c>
      <c r="C71" s="21">
        <v>38001008004</v>
      </c>
      <c r="D71" t="s">
        <v>49</v>
      </c>
      <c r="E71" s="39" t="s">
        <v>532</v>
      </c>
      <c r="F71" s="21">
        <v>1159</v>
      </c>
      <c r="G71" t="s">
        <v>14</v>
      </c>
      <c r="H71" s="21">
        <v>47</v>
      </c>
      <c r="I71" s="21">
        <v>1159</v>
      </c>
      <c r="J71" t="s">
        <v>14</v>
      </c>
      <c r="K71" s="41">
        <v>184.33</v>
      </c>
    </row>
    <row r="72" spans="1:11" x14ac:dyDescent="0.2">
      <c r="A72" s="43">
        <v>46023</v>
      </c>
      <c r="B72" t="s">
        <v>50</v>
      </c>
      <c r="C72" s="21">
        <v>38001008004</v>
      </c>
      <c r="D72" t="s">
        <v>49</v>
      </c>
      <c r="E72" s="39" t="s">
        <v>533</v>
      </c>
      <c r="F72" s="21">
        <v>1159</v>
      </c>
      <c r="G72" t="s">
        <v>14</v>
      </c>
      <c r="H72" s="21">
        <v>47</v>
      </c>
      <c r="I72" s="21">
        <v>1159</v>
      </c>
      <c r="J72" t="s">
        <v>14</v>
      </c>
      <c r="K72" s="41">
        <v>1895.67</v>
      </c>
    </row>
    <row r="73" spans="1:11" x14ac:dyDescent="0.2">
      <c r="A73" s="43">
        <v>46023</v>
      </c>
      <c r="B73" t="s">
        <v>57</v>
      </c>
      <c r="C73" s="21">
        <v>38001018005</v>
      </c>
      <c r="D73" t="s">
        <v>58</v>
      </c>
      <c r="E73" s="39" t="s">
        <v>534</v>
      </c>
      <c r="F73" s="21">
        <v>1159</v>
      </c>
      <c r="G73" t="s">
        <v>14</v>
      </c>
      <c r="H73" s="21">
        <v>47</v>
      </c>
      <c r="I73" s="21">
        <v>1159</v>
      </c>
      <c r="J73" t="s">
        <v>14</v>
      </c>
      <c r="K73" s="41">
        <v>1961.38</v>
      </c>
    </row>
    <row r="74" spans="1:11" x14ac:dyDescent="0.2">
      <c r="A74" s="43">
        <v>46023</v>
      </c>
      <c r="B74" t="s">
        <v>66</v>
      </c>
      <c r="C74" s="21">
        <v>38001011003</v>
      </c>
      <c r="D74" t="s">
        <v>68</v>
      </c>
      <c r="E74" s="39" t="s">
        <v>535</v>
      </c>
      <c r="F74" s="21">
        <v>1159</v>
      </c>
      <c r="G74" t="s">
        <v>14</v>
      </c>
      <c r="H74" s="21">
        <v>47</v>
      </c>
      <c r="I74" s="21">
        <v>1160</v>
      </c>
      <c r="J74" t="s">
        <v>13</v>
      </c>
      <c r="K74" s="41">
        <v>5000</v>
      </c>
    </row>
    <row r="75" spans="1:11" x14ac:dyDescent="0.2">
      <c r="A75" s="43">
        <v>46023</v>
      </c>
      <c r="B75" t="s">
        <v>46</v>
      </c>
      <c r="C75" s="21">
        <v>38001002001</v>
      </c>
      <c r="D75" t="s">
        <v>48</v>
      </c>
      <c r="E75" s="39" t="s">
        <v>536</v>
      </c>
      <c r="F75" s="21">
        <v>1159</v>
      </c>
      <c r="G75" t="s">
        <v>14</v>
      </c>
      <c r="H75" s="21">
        <v>47</v>
      </c>
      <c r="I75" s="21">
        <v>1150</v>
      </c>
      <c r="J75" t="s">
        <v>15</v>
      </c>
      <c r="K75" s="41">
        <v>79.02</v>
      </c>
    </row>
    <row r="76" spans="1:11" x14ac:dyDescent="0.2">
      <c r="A76" s="43">
        <v>46023</v>
      </c>
      <c r="B76" t="s">
        <v>125</v>
      </c>
      <c r="C76" s="21">
        <v>38001027008</v>
      </c>
      <c r="D76" t="s">
        <v>12</v>
      </c>
      <c r="E76" s="39" t="s">
        <v>516</v>
      </c>
      <c r="F76" s="21">
        <v>1159</v>
      </c>
      <c r="G76" t="s">
        <v>14</v>
      </c>
      <c r="H76" s="21">
        <v>47</v>
      </c>
      <c r="I76" s="21">
        <v>1150</v>
      </c>
      <c r="J76" t="s">
        <v>15</v>
      </c>
      <c r="K76" s="41">
        <v>950</v>
      </c>
    </row>
    <row r="77" spans="1:11" x14ac:dyDescent="0.2">
      <c r="A77" s="43">
        <v>46023</v>
      </c>
      <c r="B77" t="s">
        <v>125</v>
      </c>
      <c r="C77" s="21">
        <v>38001027008</v>
      </c>
      <c r="D77" t="s">
        <v>12</v>
      </c>
      <c r="E77" s="39" t="s">
        <v>515</v>
      </c>
      <c r="F77" s="21">
        <v>1159</v>
      </c>
      <c r="G77" t="s">
        <v>14</v>
      </c>
      <c r="H77" s="21">
        <v>47</v>
      </c>
      <c r="I77" s="21">
        <v>1150</v>
      </c>
      <c r="J77" t="s">
        <v>15</v>
      </c>
      <c r="K77" s="41">
        <v>5630</v>
      </c>
    </row>
    <row r="78" spans="1:11" x14ac:dyDescent="0.2">
      <c r="A78" s="43">
        <v>46023</v>
      </c>
      <c r="B78" t="s">
        <v>125</v>
      </c>
      <c r="C78" s="21">
        <v>38001027008</v>
      </c>
      <c r="D78" t="s">
        <v>12</v>
      </c>
      <c r="E78" s="39" t="s">
        <v>515</v>
      </c>
      <c r="F78" s="21">
        <v>1159</v>
      </c>
      <c r="G78" t="s">
        <v>14</v>
      </c>
      <c r="H78" s="21">
        <v>47</v>
      </c>
      <c r="I78" s="21">
        <v>1159</v>
      </c>
      <c r="J78" t="s">
        <v>14</v>
      </c>
      <c r="K78" s="41">
        <v>2280</v>
      </c>
    </row>
    <row r="79" spans="1:11" x14ac:dyDescent="0.2">
      <c r="A79" s="43">
        <v>46023</v>
      </c>
      <c r="B79" t="s">
        <v>125</v>
      </c>
      <c r="C79" s="21">
        <v>38001027008</v>
      </c>
      <c r="D79" t="s">
        <v>12</v>
      </c>
      <c r="E79" s="39" t="s">
        <v>516</v>
      </c>
      <c r="F79" s="21">
        <v>1159</v>
      </c>
      <c r="G79" t="s">
        <v>14</v>
      </c>
      <c r="H79" s="21">
        <v>47</v>
      </c>
      <c r="I79" s="21">
        <v>1160</v>
      </c>
      <c r="J79" t="s">
        <v>13</v>
      </c>
      <c r="K79" s="41">
        <v>1425</v>
      </c>
    </row>
    <row r="80" spans="1:11" x14ac:dyDescent="0.2">
      <c r="A80" s="43">
        <v>46023</v>
      </c>
      <c r="B80" t="s">
        <v>125</v>
      </c>
      <c r="C80" s="21">
        <v>38001027008</v>
      </c>
      <c r="D80" t="s">
        <v>12</v>
      </c>
      <c r="E80" s="39" t="s">
        <v>515</v>
      </c>
      <c r="F80" s="21">
        <v>1159</v>
      </c>
      <c r="G80" t="s">
        <v>14</v>
      </c>
      <c r="H80" s="21">
        <v>47</v>
      </c>
      <c r="I80" s="21">
        <v>1160</v>
      </c>
      <c r="J80" t="s">
        <v>13</v>
      </c>
      <c r="K80" s="41">
        <v>5120</v>
      </c>
    </row>
    <row r="81" spans="1:11" x14ac:dyDescent="0.2">
      <c r="A81" s="43">
        <v>46023</v>
      </c>
      <c r="B81" t="s">
        <v>57</v>
      </c>
      <c r="C81" s="21">
        <v>38001018002</v>
      </c>
      <c r="D81" t="s">
        <v>59</v>
      </c>
      <c r="E81" s="39" t="s">
        <v>528</v>
      </c>
      <c r="F81" s="21">
        <v>1159</v>
      </c>
      <c r="G81" t="s">
        <v>14</v>
      </c>
      <c r="H81" s="21">
        <v>47</v>
      </c>
      <c r="I81" s="21">
        <v>1159</v>
      </c>
      <c r="J81" t="s">
        <v>14</v>
      </c>
      <c r="K81" s="41">
        <v>-9715.2000000000007</v>
      </c>
    </row>
    <row r="82" spans="1:11" x14ac:dyDescent="0.2">
      <c r="A82" s="43">
        <v>46023</v>
      </c>
      <c r="B82" t="s">
        <v>57</v>
      </c>
      <c r="C82" s="21">
        <v>38001018005</v>
      </c>
      <c r="D82" t="s">
        <v>58</v>
      </c>
      <c r="E82" s="39" t="s">
        <v>534</v>
      </c>
      <c r="F82" s="21">
        <v>1159</v>
      </c>
      <c r="G82" t="s">
        <v>14</v>
      </c>
      <c r="H82" s="21">
        <v>47</v>
      </c>
      <c r="I82" s="21">
        <v>1159</v>
      </c>
      <c r="J82" t="s">
        <v>14</v>
      </c>
      <c r="K82" s="41">
        <v>-2761.62</v>
      </c>
    </row>
    <row r="83" spans="1:11" x14ac:dyDescent="0.2">
      <c r="A83" s="43">
        <v>46023</v>
      </c>
      <c r="B83" t="s">
        <v>57</v>
      </c>
      <c r="C83" s="21">
        <v>38001018002</v>
      </c>
      <c r="D83" t="s">
        <v>59</v>
      </c>
      <c r="E83" s="39" t="s">
        <v>537</v>
      </c>
      <c r="F83" s="21">
        <v>1159</v>
      </c>
      <c r="G83" t="s">
        <v>14</v>
      </c>
      <c r="H83" s="21">
        <v>47</v>
      </c>
      <c r="I83" s="21">
        <v>1159</v>
      </c>
      <c r="J83" t="s">
        <v>14</v>
      </c>
      <c r="K83" s="41">
        <v>8652</v>
      </c>
    </row>
    <row r="84" spans="1:11" x14ac:dyDescent="0.2">
      <c r="A84" s="43">
        <v>46023</v>
      </c>
      <c r="B84" t="s">
        <v>57</v>
      </c>
      <c r="C84" s="21">
        <v>38001018005</v>
      </c>
      <c r="D84" t="s">
        <v>58</v>
      </c>
      <c r="E84" s="39" t="s">
        <v>538</v>
      </c>
      <c r="F84" s="21">
        <v>1159</v>
      </c>
      <c r="G84" t="s">
        <v>14</v>
      </c>
      <c r="H84" s="21">
        <v>47</v>
      </c>
      <c r="I84" s="21">
        <v>1159</v>
      </c>
      <c r="J84" t="s">
        <v>14</v>
      </c>
      <c r="K84" s="41">
        <v>2459.4</v>
      </c>
    </row>
    <row r="85" spans="1:11" x14ac:dyDescent="0.2">
      <c r="A85" s="43">
        <v>46023</v>
      </c>
      <c r="B85" t="s">
        <v>35</v>
      </c>
      <c r="C85" s="21">
        <v>38001013001</v>
      </c>
      <c r="D85" t="s">
        <v>35</v>
      </c>
      <c r="E85" s="39" t="s">
        <v>539</v>
      </c>
      <c r="F85" s="21">
        <v>1159</v>
      </c>
      <c r="G85" t="s">
        <v>14</v>
      </c>
      <c r="H85" s="21">
        <v>47</v>
      </c>
      <c r="I85" s="21">
        <v>1150</v>
      </c>
      <c r="J85" t="s">
        <v>15</v>
      </c>
      <c r="K85" s="41">
        <v>478.6</v>
      </c>
    </row>
    <row r="86" spans="1:11" x14ac:dyDescent="0.2">
      <c r="A86" s="43">
        <v>46023</v>
      </c>
      <c r="B86" t="s">
        <v>35</v>
      </c>
      <c r="C86" s="21">
        <v>38001013001</v>
      </c>
      <c r="D86" t="s">
        <v>35</v>
      </c>
      <c r="E86" s="39" t="s">
        <v>540</v>
      </c>
      <c r="F86" s="21">
        <v>1159</v>
      </c>
      <c r="G86" t="s">
        <v>14</v>
      </c>
      <c r="H86" s="21">
        <v>47</v>
      </c>
      <c r="I86" s="21">
        <v>1159</v>
      </c>
      <c r="J86" t="s">
        <v>14</v>
      </c>
      <c r="K86" s="41">
        <v>397.8</v>
      </c>
    </row>
    <row r="87" spans="1:11" x14ac:dyDescent="0.2">
      <c r="A87" s="43">
        <v>46023</v>
      </c>
      <c r="B87" t="s">
        <v>35</v>
      </c>
      <c r="C87" s="21">
        <v>38001013001</v>
      </c>
      <c r="D87" t="s">
        <v>35</v>
      </c>
      <c r="E87" s="39" t="s">
        <v>541</v>
      </c>
      <c r="F87" s="21">
        <v>1159</v>
      </c>
      <c r="G87" t="s">
        <v>14</v>
      </c>
      <c r="H87" s="21">
        <v>47</v>
      </c>
      <c r="I87" s="21">
        <v>1160</v>
      </c>
      <c r="J87" t="s">
        <v>13</v>
      </c>
      <c r="K87" s="41">
        <v>403.64</v>
      </c>
    </row>
    <row r="88" spans="1:11" x14ac:dyDescent="0.2">
      <c r="A88" s="43">
        <v>46023</v>
      </c>
      <c r="B88" t="s">
        <v>35</v>
      </c>
      <c r="C88" s="21">
        <v>38001013001</v>
      </c>
      <c r="D88" t="s">
        <v>35</v>
      </c>
      <c r="E88" s="39" t="s">
        <v>542</v>
      </c>
      <c r="F88" s="21">
        <v>1159</v>
      </c>
      <c r="G88" t="s">
        <v>14</v>
      </c>
      <c r="H88" s="21">
        <v>47</v>
      </c>
      <c r="I88" s="21">
        <v>1150</v>
      </c>
      <c r="J88" t="s">
        <v>15</v>
      </c>
      <c r="K88" s="41">
        <v>511.58</v>
      </c>
    </row>
    <row r="89" spans="1:11" x14ac:dyDescent="0.2">
      <c r="A89" s="43">
        <v>46023</v>
      </c>
      <c r="B89" t="s">
        <v>35</v>
      </c>
      <c r="C89" s="21">
        <v>38001013001</v>
      </c>
      <c r="D89" t="s">
        <v>35</v>
      </c>
      <c r="E89" s="39" t="s">
        <v>543</v>
      </c>
      <c r="F89" s="21">
        <v>1159</v>
      </c>
      <c r="G89" t="s">
        <v>14</v>
      </c>
      <c r="H89" s="21">
        <v>47</v>
      </c>
      <c r="I89" s="21">
        <v>1159</v>
      </c>
      <c r="J89" t="s">
        <v>14</v>
      </c>
      <c r="K89" s="41">
        <v>425.23</v>
      </c>
    </row>
    <row r="90" spans="1:11" x14ac:dyDescent="0.2">
      <c r="A90" s="43">
        <v>46023</v>
      </c>
      <c r="B90" t="s">
        <v>35</v>
      </c>
      <c r="C90" s="21">
        <v>38001013001</v>
      </c>
      <c r="D90" t="s">
        <v>35</v>
      </c>
      <c r="E90" s="39" t="s">
        <v>544</v>
      </c>
      <c r="F90" s="21">
        <v>1159</v>
      </c>
      <c r="G90" t="s">
        <v>14</v>
      </c>
      <c r="H90" s="21">
        <v>47</v>
      </c>
      <c r="I90" s="21">
        <v>1160</v>
      </c>
      <c r="J90" t="s">
        <v>13</v>
      </c>
      <c r="K90" s="41">
        <v>431.48</v>
      </c>
    </row>
    <row r="91" spans="1:11" x14ac:dyDescent="0.2">
      <c r="A91" s="43">
        <v>46023</v>
      </c>
      <c r="B91" t="s">
        <v>35</v>
      </c>
      <c r="C91" s="21">
        <v>38001013001</v>
      </c>
      <c r="D91" t="s">
        <v>35</v>
      </c>
      <c r="E91" s="39" t="s">
        <v>503</v>
      </c>
      <c r="F91" s="21">
        <v>1159</v>
      </c>
      <c r="G91" t="s">
        <v>14</v>
      </c>
      <c r="H91" s="21">
        <v>47</v>
      </c>
      <c r="I91" s="21">
        <v>1150</v>
      </c>
      <c r="J91" t="s">
        <v>15</v>
      </c>
      <c r="K91" s="41">
        <v>-836.64</v>
      </c>
    </row>
    <row r="92" spans="1:11" x14ac:dyDescent="0.2">
      <c r="A92" s="43">
        <v>46023</v>
      </c>
      <c r="B92" t="s">
        <v>38</v>
      </c>
      <c r="C92" s="21">
        <v>38001023002</v>
      </c>
      <c r="D92" t="s">
        <v>37</v>
      </c>
      <c r="E92" s="39" t="s">
        <v>503</v>
      </c>
      <c r="F92" s="21">
        <v>1159</v>
      </c>
      <c r="G92" t="s">
        <v>14</v>
      </c>
      <c r="H92" s="21">
        <v>47</v>
      </c>
      <c r="I92" s="21">
        <v>1150</v>
      </c>
      <c r="J92" t="s">
        <v>15</v>
      </c>
      <c r="K92" s="41">
        <v>836.64</v>
      </c>
    </row>
    <row r="93" spans="1:11" x14ac:dyDescent="0.2">
      <c r="A93" s="43">
        <v>46023</v>
      </c>
      <c r="B93" t="s">
        <v>35</v>
      </c>
      <c r="C93" s="21">
        <v>38001013001</v>
      </c>
      <c r="D93" t="s">
        <v>35</v>
      </c>
      <c r="E93" s="39" t="s">
        <v>504</v>
      </c>
      <c r="F93" s="21">
        <v>1159</v>
      </c>
      <c r="G93" t="s">
        <v>14</v>
      </c>
      <c r="H93" s="21">
        <v>47</v>
      </c>
      <c r="I93" s="21">
        <v>1159</v>
      </c>
      <c r="J93" t="s">
        <v>14</v>
      </c>
      <c r="K93" s="41">
        <v>-650.35</v>
      </c>
    </row>
    <row r="94" spans="1:11" x14ac:dyDescent="0.2">
      <c r="A94" s="43">
        <v>46023</v>
      </c>
      <c r="B94" t="s">
        <v>38</v>
      </c>
      <c r="C94" s="21">
        <v>38001023002</v>
      </c>
      <c r="D94" t="s">
        <v>37</v>
      </c>
      <c r="E94" s="39" t="s">
        <v>504</v>
      </c>
      <c r="F94" s="21">
        <v>1159</v>
      </c>
      <c r="G94" t="s">
        <v>14</v>
      </c>
      <c r="H94" s="21">
        <v>47</v>
      </c>
      <c r="I94" s="21">
        <v>1159</v>
      </c>
      <c r="J94" t="s">
        <v>14</v>
      </c>
      <c r="K94" s="41">
        <v>650.35</v>
      </c>
    </row>
    <row r="95" spans="1:11" x14ac:dyDescent="0.2">
      <c r="A95" s="43">
        <v>46023</v>
      </c>
      <c r="B95" t="s">
        <v>35</v>
      </c>
      <c r="C95" s="21">
        <v>38001013001</v>
      </c>
      <c r="D95" t="s">
        <v>35</v>
      </c>
      <c r="E95" s="39" t="s">
        <v>505</v>
      </c>
      <c r="F95" s="21">
        <v>1159</v>
      </c>
      <c r="G95" t="s">
        <v>14</v>
      </c>
      <c r="H95" s="21">
        <v>47</v>
      </c>
      <c r="I95" s="21">
        <v>1160</v>
      </c>
      <c r="J95" t="s">
        <v>13</v>
      </c>
      <c r="K95" s="41">
        <v>-643.55999999999995</v>
      </c>
    </row>
    <row r="96" spans="1:11" x14ac:dyDescent="0.2">
      <c r="A96" s="43">
        <v>46023</v>
      </c>
      <c r="B96" t="s">
        <v>38</v>
      </c>
      <c r="C96" s="21">
        <v>38001023002</v>
      </c>
      <c r="D96" t="s">
        <v>37</v>
      </c>
      <c r="E96" s="39" t="s">
        <v>505</v>
      </c>
      <c r="F96" s="21">
        <v>1159</v>
      </c>
      <c r="G96" t="s">
        <v>14</v>
      </c>
      <c r="H96" s="21">
        <v>47</v>
      </c>
      <c r="I96" s="21">
        <v>1160</v>
      </c>
      <c r="J96" t="s">
        <v>13</v>
      </c>
      <c r="K96" s="41">
        <v>643.55999999999995</v>
      </c>
    </row>
    <row r="97" spans="1:11" x14ac:dyDescent="0.2">
      <c r="A97" s="43">
        <v>46023</v>
      </c>
      <c r="B97" t="s">
        <v>35</v>
      </c>
      <c r="C97" s="21">
        <v>38001013001</v>
      </c>
      <c r="D97" t="s">
        <v>35</v>
      </c>
      <c r="E97" s="39" t="s">
        <v>542</v>
      </c>
      <c r="F97" s="21">
        <v>1159</v>
      </c>
      <c r="G97" t="s">
        <v>14</v>
      </c>
      <c r="H97" s="21">
        <v>47</v>
      </c>
      <c r="I97" s="21">
        <v>1150</v>
      </c>
      <c r="J97" t="s">
        <v>15</v>
      </c>
      <c r="K97" s="41">
        <v>-511.58</v>
      </c>
    </row>
    <row r="98" spans="1:11" x14ac:dyDescent="0.2">
      <c r="A98" s="43">
        <v>46023</v>
      </c>
      <c r="B98" t="s">
        <v>107</v>
      </c>
      <c r="C98" s="21">
        <v>38001025002</v>
      </c>
      <c r="D98" t="s">
        <v>115</v>
      </c>
      <c r="E98" s="39" t="s">
        <v>542</v>
      </c>
      <c r="F98" s="21">
        <v>1159</v>
      </c>
      <c r="G98" t="s">
        <v>14</v>
      </c>
      <c r="H98" s="21">
        <v>47</v>
      </c>
      <c r="I98" s="21">
        <v>1150</v>
      </c>
      <c r="J98" t="s">
        <v>15</v>
      </c>
      <c r="K98" s="41">
        <v>511.58</v>
      </c>
    </row>
    <row r="99" spans="1:11" x14ac:dyDescent="0.2">
      <c r="A99" s="43">
        <v>46023</v>
      </c>
      <c r="B99" t="s">
        <v>35</v>
      </c>
      <c r="C99" s="21">
        <v>38001013001</v>
      </c>
      <c r="D99" t="s">
        <v>35</v>
      </c>
      <c r="E99" s="39" t="s">
        <v>543</v>
      </c>
      <c r="F99" s="21">
        <v>1159</v>
      </c>
      <c r="G99" t="s">
        <v>14</v>
      </c>
      <c r="H99" s="21">
        <v>47</v>
      </c>
      <c r="I99" s="21">
        <v>1159</v>
      </c>
      <c r="J99" t="s">
        <v>14</v>
      </c>
      <c r="K99" s="41">
        <v>-425.23</v>
      </c>
    </row>
    <row r="100" spans="1:11" x14ac:dyDescent="0.2">
      <c r="A100" s="43">
        <v>46023</v>
      </c>
      <c r="B100" t="s">
        <v>107</v>
      </c>
      <c r="C100" s="21">
        <v>38001025002</v>
      </c>
      <c r="D100" t="s">
        <v>115</v>
      </c>
      <c r="E100" s="39" t="s">
        <v>543</v>
      </c>
      <c r="F100" s="21">
        <v>1159</v>
      </c>
      <c r="G100" t="s">
        <v>14</v>
      </c>
      <c r="H100" s="21">
        <v>47</v>
      </c>
      <c r="I100" s="21">
        <v>1159</v>
      </c>
      <c r="J100" t="s">
        <v>14</v>
      </c>
      <c r="K100" s="41">
        <v>425.23</v>
      </c>
    </row>
    <row r="101" spans="1:11" x14ac:dyDescent="0.2">
      <c r="A101" s="43">
        <v>46023</v>
      </c>
      <c r="B101" t="s">
        <v>35</v>
      </c>
      <c r="C101" s="21">
        <v>38001013001</v>
      </c>
      <c r="D101" t="s">
        <v>35</v>
      </c>
      <c r="E101" s="39" t="s">
        <v>544</v>
      </c>
      <c r="F101" s="21">
        <v>1159</v>
      </c>
      <c r="G101" t="s">
        <v>14</v>
      </c>
      <c r="H101" s="21">
        <v>47</v>
      </c>
      <c r="I101" s="21">
        <v>1160</v>
      </c>
      <c r="J101" t="s">
        <v>13</v>
      </c>
      <c r="K101" s="41">
        <v>-431.48</v>
      </c>
    </row>
    <row r="102" spans="1:11" x14ac:dyDescent="0.2">
      <c r="A102" s="43">
        <v>46023</v>
      </c>
      <c r="B102" t="s">
        <v>107</v>
      </c>
      <c r="C102" s="21">
        <v>38001025002</v>
      </c>
      <c r="D102" t="s">
        <v>115</v>
      </c>
      <c r="E102" s="39" t="s">
        <v>544</v>
      </c>
      <c r="F102" s="21">
        <v>1159</v>
      </c>
      <c r="G102" t="s">
        <v>14</v>
      </c>
      <c r="H102" s="21">
        <v>47</v>
      </c>
      <c r="I102" s="21">
        <v>1160</v>
      </c>
      <c r="J102" t="s">
        <v>13</v>
      </c>
      <c r="K102" s="41">
        <v>431.48</v>
      </c>
    </row>
    <row r="103" spans="1:11" x14ac:dyDescent="0.2">
      <c r="A103" s="43">
        <v>46023</v>
      </c>
      <c r="B103" t="s">
        <v>35</v>
      </c>
      <c r="C103" s="21">
        <v>38001013001</v>
      </c>
      <c r="D103" t="s">
        <v>35</v>
      </c>
      <c r="E103" s="39" t="s">
        <v>483</v>
      </c>
      <c r="F103" s="21">
        <v>1159</v>
      </c>
      <c r="G103" t="s">
        <v>14</v>
      </c>
      <c r="H103" s="21">
        <v>47</v>
      </c>
      <c r="I103" s="21">
        <v>1150</v>
      </c>
      <c r="J103" t="s">
        <v>15</v>
      </c>
      <c r="K103" s="41">
        <v>-647.4</v>
      </c>
    </row>
    <row r="104" spans="1:11" x14ac:dyDescent="0.2">
      <c r="A104" s="43">
        <v>46023</v>
      </c>
      <c r="B104" t="s">
        <v>35</v>
      </c>
      <c r="C104" s="21">
        <v>38001013001</v>
      </c>
      <c r="D104" t="s">
        <v>35</v>
      </c>
      <c r="E104" s="39" t="s">
        <v>484</v>
      </c>
      <c r="F104" s="21">
        <v>1159</v>
      </c>
      <c r="G104" t="s">
        <v>14</v>
      </c>
      <c r="H104" s="21">
        <v>47</v>
      </c>
      <c r="I104" s="21">
        <v>1150</v>
      </c>
      <c r="J104" t="s">
        <v>15</v>
      </c>
      <c r="K104" s="41">
        <v>-870.96</v>
      </c>
    </row>
    <row r="105" spans="1:11" x14ac:dyDescent="0.2">
      <c r="A105" s="43">
        <v>46023</v>
      </c>
      <c r="B105" t="s">
        <v>35</v>
      </c>
      <c r="C105" s="21">
        <v>38001013002</v>
      </c>
      <c r="D105" t="s">
        <v>34</v>
      </c>
      <c r="E105" s="39" t="s">
        <v>483</v>
      </c>
      <c r="F105" s="21">
        <v>1159</v>
      </c>
      <c r="G105" t="s">
        <v>14</v>
      </c>
      <c r="H105" s="21">
        <v>47</v>
      </c>
      <c r="I105" s="21">
        <v>1150</v>
      </c>
      <c r="J105" t="s">
        <v>15</v>
      </c>
      <c r="K105" s="41">
        <v>647.4</v>
      </c>
    </row>
    <row r="106" spans="1:11" x14ac:dyDescent="0.2">
      <c r="A106" s="43">
        <v>46023</v>
      </c>
      <c r="B106" t="s">
        <v>35</v>
      </c>
      <c r="C106" s="21">
        <v>38001013002</v>
      </c>
      <c r="D106" t="s">
        <v>34</v>
      </c>
      <c r="E106" s="39" t="s">
        <v>484</v>
      </c>
      <c r="F106" s="21">
        <v>1159</v>
      </c>
      <c r="G106" t="s">
        <v>14</v>
      </c>
      <c r="H106" s="21">
        <v>47</v>
      </c>
      <c r="I106" s="21">
        <v>1150</v>
      </c>
      <c r="J106" t="s">
        <v>15</v>
      </c>
      <c r="K106" s="41">
        <v>870.96</v>
      </c>
    </row>
    <row r="107" spans="1:11" x14ac:dyDescent="0.2">
      <c r="A107" s="43">
        <v>46023</v>
      </c>
      <c r="B107" t="s">
        <v>35</v>
      </c>
      <c r="C107" s="21">
        <v>38001013001</v>
      </c>
      <c r="D107" t="s">
        <v>35</v>
      </c>
      <c r="E107" s="39" t="s">
        <v>485</v>
      </c>
      <c r="F107" s="21">
        <v>1159</v>
      </c>
      <c r="G107" t="s">
        <v>14</v>
      </c>
      <c r="H107" s="21">
        <v>47</v>
      </c>
      <c r="I107" s="21">
        <v>1159</v>
      </c>
      <c r="J107" t="s">
        <v>14</v>
      </c>
      <c r="K107" s="41">
        <v>-647.4</v>
      </c>
    </row>
    <row r="108" spans="1:11" x14ac:dyDescent="0.2">
      <c r="A108" s="43">
        <v>46023</v>
      </c>
      <c r="B108" t="s">
        <v>35</v>
      </c>
      <c r="C108" s="21">
        <v>38001013002</v>
      </c>
      <c r="D108" t="s">
        <v>34</v>
      </c>
      <c r="E108" s="39" t="s">
        <v>485</v>
      </c>
      <c r="F108" s="21">
        <v>1159</v>
      </c>
      <c r="G108" t="s">
        <v>14</v>
      </c>
      <c r="H108" s="21">
        <v>47</v>
      </c>
      <c r="I108" s="21">
        <v>1159</v>
      </c>
      <c r="J108" t="s">
        <v>14</v>
      </c>
      <c r="K108" s="41">
        <v>647.4</v>
      </c>
    </row>
    <row r="109" spans="1:11" x14ac:dyDescent="0.2">
      <c r="A109" s="43">
        <v>46023</v>
      </c>
      <c r="B109" t="s">
        <v>35</v>
      </c>
      <c r="C109" s="21">
        <v>38001013001</v>
      </c>
      <c r="D109" t="s">
        <v>35</v>
      </c>
      <c r="E109" s="39" t="s">
        <v>486</v>
      </c>
      <c r="F109" s="21">
        <v>1159</v>
      </c>
      <c r="G109" t="s">
        <v>14</v>
      </c>
      <c r="H109" s="21">
        <v>47</v>
      </c>
      <c r="I109" s="21">
        <v>1160</v>
      </c>
      <c r="J109" t="s">
        <v>13</v>
      </c>
      <c r="K109" s="41">
        <v>-431.6</v>
      </c>
    </row>
    <row r="110" spans="1:11" x14ac:dyDescent="0.2">
      <c r="A110" s="43">
        <v>46023</v>
      </c>
      <c r="B110" t="s">
        <v>35</v>
      </c>
      <c r="C110" s="21">
        <v>38001013001</v>
      </c>
      <c r="D110" t="s">
        <v>35</v>
      </c>
      <c r="E110" s="39" t="s">
        <v>487</v>
      </c>
      <c r="F110" s="21">
        <v>1159</v>
      </c>
      <c r="G110" t="s">
        <v>14</v>
      </c>
      <c r="H110" s="21">
        <v>47</v>
      </c>
      <c r="I110" s="21">
        <v>1160</v>
      </c>
      <c r="J110" t="s">
        <v>13</v>
      </c>
      <c r="K110" s="41">
        <v>-655.16</v>
      </c>
    </row>
    <row r="111" spans="1:11" x14ac:dyDescent="0.2">
      <c r="A111" s="43">
        <v>46023</v>
      </c>
      <c r="B111" t="s">
        <v>35</v>
      </c>
      <c r="C111" s="21">
        <v>38001013002</v>
      </c>
      <c r="D111" t="s">
        <v>34</v>
      </c>
      <c r="E111" s="39" t="s">
        <v>486</v>
      </c>
      <c r="F111" s="21">
        <v>1159</v>
      </c>
      <c r="G111" t="s">
        <v>14</v>
      </c>
      <c r="H111" s="21">
        <v>47</v>
      </c>
      <c r="I111" s="21">
        <v>1160</v>
      </c>
      <c r="J111" t="s">
        <v>13</v>
      </c>
      <c r="K111" s="41">
        <v>431.6</v>
      </c>
    </row>
    <row r="112" spans="1:11" x14ac:dyDescent="0.2">
      <c r="A112" s="43">
        <v>46023</v>
      </c>
      <c r="B112" t="s">
        <v>35</v>
      </c>
      <c r="C112" s="21">
        <v>38001013002</v>
      </c>
      <c r="D112" t="s">
        <v>34</v>
      </c>
      <c r="E112" s="39" t="s">
        <v>487</v>
      </c>
      <c r="F112" s="21">
        <v>1159</v>
      </c>
      <c r="G112" t="s">
        <v>14</v>
      </c>
      <c r="H112" s="21">
        <v>47</v>
      </c>
      <c r="I112" s="21">
        <v>1160</v>
      </c>
      <c r="J112" t="s">
        <v>13</v>
      </c>
      <c r="K112" s="41">
        <v>655.16</v>
      </c>
    </row>
    <row r="113" spans="1:11" x14ac:dyDescent="0.2">
      <c r="A113" s="43">
        <v>46023</v>
      </c>
      <c r="B113" t="s">
        <v>35</v>
      </c>
      <c r="C113" s="21">
        <v>38001013001</v>
      </c>
      <c r="D113" t="s">
        <v>35</v>
      </c>
      <c r="E113" s="39" t="s">
        <v>471</v>
      </c>
      <c r="F113" s="21">
        <v>1159</v>
      </c>
      <c r="G113" t="s">
        <v>14</v>
      </c>
      <c r="H113" s="21">
        <v>47</v>
      </c>
      <c r="I113" s="21">
        <v>1150</v>
      </c>
      <c r="J113" t="s">
        <v>15</v>
      </c>
      <c r="K113" s="41">
        <v>-638.1</v>
      </c>
    </row>
    <row r="114" spans="1:11" x14ac:dyDescent="0.2">
      <c r="A114" s="43">
        <v>46023</v>
      </c>
      <c r="B114" t="s">
        <v>38</v>
      </c>
      <c r="C114" s="21">
        <v>38001023004</v>
      </c>
      <c r="D114" t="s">
        <v>36</v>
      </c>
      <c r="E114" s="39" t="s">
        <v>471</v>
      </c>
      <c r="F114" s="21">
        <v>1159</v>
      </c>
      <c r="G114" t="s">
        <v>14</v>
      </c>
      <c r="H114" s="21">
        <v>47</v>
      </c>
      <c r="I114" s="21">
        <v>1150</v>
      </c>
      <c r="J114" t="s">
        <v>15</v>
      </c>
      <c r="K114" s="41">
        <v>638.1</v>
      </c>
    </row>
    <row r="115" spans="1:11" x14ac:dyDescent="0.2">
      <c r="A115" s="43">
        <v>46023</v>
      </c>
      <c r="B115" t="s">
        <v>35</v>
      </c>
      <c r="C115" s="21">
        <v>38001013001</v>
      </c>
      <c r="D115" t="s">
        <v>35</v>
      </c>
      <c r="E115" s="39" t="s">
        <v>472</v>
      </c>
      <c r="F115" s="21">
        <v>1159</v>
      </c>
      <c r="G115" t="s">
        <v>14</v>
      </c>
      <c r="H115" s="21">
        <v>47</v>
      </c>
      <c r="I115" s="21">
        <v>1159</v>
      </c>
      <c r="J115" t="s">
        <v>14</v>
      </c>
      <c r="K115" s="41">
        <v>-530.4</v>
      </c>
    </row>
    <row r="116" spans="1:11" x14ac:dyDescent="0.2">
      <c r="A116" s="43">
        <v>46023</v>
      </c>
      <c r="B116" t="s">
        <v>38</v>
      </c>
      <c r="C116" s="21">
        <v>38001023004</v>
      </c>
      <c r="D116" t="s">
        <v>36</v>
      </c>
      <c r="E116" s="39" t="s">
        <v>472</v>
      </c>
      <c r="F116" s="21">
        <v>1159</v>
      </c>
      <c r="G116" t="s">
        <v>14</v>
      </c>
      <c r="H116" s="21">
        <v>47</v>
      </c>
      <c r="I116" s="21">
        <v>1159</v>
      </c>
      <c r="J116" t="s">
        <v>14</v>
      </c>
      <c r="K116" s="41">
        <v>530.4</v>
      </c>
    </row>
    <row r="117" spans="1:11" x14ac:dyDescent="0.2">
      <c r="A117" s="43">
        <v>46023</v>
      </c>
      <c r="B117" t="s">
        <v>35</v>
      </c>
      <c r="C117" s="21">
        <v>38001013001</v>
      </c>
      <c r="D117" t="s">
        <v>35</v>
      </c>
      <c r="E117" s="39" t="s">
        <v>473</v>
      </c>
      <c r="F117" s="21">
        <v>1159</v>
      </c>
      <c r="G117" t="s">
        <v>14</v>
      </c>
      <c r="H117" s="21">
        <v>47</v>
      </c>
      <c r="I117" s="21">
        <v>1160</v>
      </c>
      <c r="J117" t="s">
        <v>13</v>
      </c>
      <c r="K117" s="41">
        <v>-538.19000000000005</v>
      </c>
    </row>
    <row r="118" spans="1:11" x14ac:dyDescent="0.2">
      <c r="A118" s="43">
        <v>46023</v>
      </c>
      <c r="B118" t="s">
        <v>38</v>
      </c>
      <c r="C118" s="21">
        <v>38001023004</v>
      </c>
      <c r="D118" t="s">
        <v>36</v>
      </c>
      <c r="E118" s="39" t="s">
        <v>473</v>
      </c>
      <c r="F118" s="21">
        <v>1159</v>
      </c>
      <c r="G118" t="s">
        <v>14</v>
      </c>
      <c r="H118" s="21">
        <v>47</v>
      </c>
      <c r="I118" s="21">
        <v>1160</v>
      </c>
      <c r="J118" t="s">
        <v>13</v>
      </c>
      <c r="K118" s="41">
        <v>538.19000000000005</v>
      </c>
    </row>
    <row r="119" spans="1:11" x14ac:dyDescent="0.2">
      <c r="A119" s="43">
        <v>46023</v>
      </c>
      <c r="B119" t="s">
        <v>35</v>
      </c>
      <c r="C119" s="21">
        <v>38001013002</v>
      </c>
      <c r="D119" t="s">
        <v>34</v>
      </c>
      <c r="E119" s="39" t="s">
        <v>545</v>
      </c>
      <c r="F119" s="21">
        <v>1159</v>
      </c>
      <c r="G119" t="s">
        <v>14</v>
      </c>
      <c r="H119" s="21">
        <v>47</v>
      </c>
      <c r="I119" s="21">
        <v>1150</v>
      </c>
      <c r="J119" t="s">
        <v>15</v>
      </c>
      <c r="K119" s="41">
        <v>-3269.92</v>
      </c>
    </row>
    <row r="120" spans="1:11" x14ac:dyDescent="0.2">
      <c r="A120" s="43">
        <v>46023</v>
      </c>
      <c r="B120" t="s">
        <v>107</v>
      </c>
      <c r="C120" s="21">
        <v>38001025004</v>
      </c>
      <c r="D120" t="s">
        <v>108</v>
      </c>
      <c r="E120" s="39" t="s">
        <v>545</v>
      </c>
      <c r="F120" s="21">
        <v>1159</v>
      </c>
      <c r="G120" t="s">
        <v>14</v>
      </c>
      <c r="H120" s="21">
        <v>47</v>
      </c>
      <c r="I120" s="21">
        <v>1150</v>
      </c>
      <c r="J120" t="s">
        <v>15</v>
      </c>
      <c r="K120" s="41">
        <v>3269.92</v>
      </c>
    </row>
    <row r="121" spans="1:11" x14ac:dyDescent="0.2">
      <c r="A121" s="43">
        <v>46023</v>
      </c>
      <c r="B121" t="s">
        <v>35</v>
      </c>
      <c r="C121" s="21">
        <v>38001013002</v>
      </c>
      <c r="D121" t="s">
        <v>34</v>
      </c>
      <c r="E121" s="39" t="s">
        <v>545</v>
      </c>
      <c r="F121" s="21">
        <v>1159</v>
      </c>
      <c r="G121" t="s">
        <v>14</v>
      </c>
      <c r="H121" s="21">
        <v>47</v>
      </c>
      <c r="I121" s="21">
        <v>1159</v>
      </c>
      <c r="J121" t="s">
        <v>14</v>
      </c>
      <c r="K121" s="41">
        <v>-18.760000000000002</v>
      </c>
    </row>
    <row r="122" spans="1:11" x14ac:dyDescent="0.2">
      <c r="A122" s="43">
        <v>46023</v>
      </c>
      <c r="B122" t="s">
        <v>107</v>
      </c>
      <c r="C122" s="21">
        <v>38001025004</v>
      </c>
      <c r="D122" t="s">
        <v>108</v>
      </c>
      <c r="E122" s="39" t="s">
        <v>545</v>
      </c>
      <c r="F122" s="21">
        <v>1159</v>
      </c>
      <c r="G122" t="s">
        <v>14</v>
      </c>
      <c r="H122" s="21">
        <v>47</v>
      </c>
      <c r="I122" s="21">
        <v>1159</v>
      </c>
      <c r="J122" t="s">
        <v>14</v>
      </c>
      <c r="K122" s="41">
        <v>18.760000000000002</v>
      </c>
    </row>
    <row r="123" spans="1:11" x14ac:dyDescent="0.2">
      <c r="A123" s="43">
        <v>46023</v>
      </c>
      <c r="B123" t="s">
        <v>35</v>
      </c>
      <c r="C123" s="21">
        <v>38001013002</v>
      </c>
      <c r="D123" t="s">
        <v>34</v>
      </c>
      <c r="E123" s="39" t="s">
        <v>545</v>
      </c>
      <c r="F123" s="21">
        <v>1159</v>
      </c>
      <c r="G123" t="s">
        <v>14</v>
      </c>
      <c r="H123" s="21">
        <v>47</v>
      </c>
      <c r="I123" s="21">
        <v>1160</v>
      </c>
      <c r="J123" t="s">
        <v>13</v>
      </c>
      <c r="K123" s="41">
        <v>-1571.64</v>
      </c>
    </row>
    <row r="124" spans="1:11" x14ac:dyDescent="0.2">
      <c r="A124" s="43">
        <v>46023</v>
      </c>
      <c r="B124" t="s">
        <v>107</v>
      </c>
      <c r="C124" s="21">
        <v>38001025004</v>
      </c>
      <c r="D124" t="s">
        <v>108</v>
      </c>
      <c r="E124" s="39" t="s">
        <v>545</v>
      </c>
      <c r="F124" s="21">
        <v>1159</v>
      </c>
      <c r="G124" t="s">
        <v>14</v>
      </c>
      <c r="H124" s="21">
        <v>47</v>
      </c>
      <c r="I124" s="21">
        <v>1160</v>
      </c>
      <c r="J124" t="s">
        <v>13</v>
      </c>
      <c r="K124" s="41">
        <v>1571.64</v>
      </c>
    </row>
    <row r="125" spans="1:11" x14ac:dyDescent="0.2">
      <c r="A125" s="43">
        <v>46023</v>
      </c>
      <c r="B125" t="s">
        <v>35</v>
      </c>
      <c r="C125" s="21">
        <v>38001013001</v>
      </c>
      <c r="D125" t="s">
        <v>35</v>
      </c>
      <c r="E125" s="39" t="s">
        <v>539</v>
      </c>
      <c r="F125" s="21">
        <v>1159</v>
      </c>
      <c r="G125" t="s">
        <v>14</v>
      </c>
      <c r="H125" s="21">
        <v>47</v>
      </c>
      <c r="I125" s="21">
        <v>1150</v>
      </c>
      <c r="J125" t="s">
        <v>15</v>
      </c>
      <c r="K125" s="41">
        <v>-478.6</v>
      </c>
    </row>
    <row r="126" spans="1:11" x14ac:dyDescent="0.2">
      <c r="A126" s="43">
        <v>46023</v>
      </c>
      <c r="B126" t="s">
        <v>107</v>
      </c>
      <c r="C126" s="21">
        <v>38001025004</v>
      </c>
      <c r="D126" t="s">
        <v>108</v>
      </c>
      <c r="E126" s="39" t="s">
        <v>539</v>
      </c>
      <c r="F126" s="21">
        <v>1159</v>
      </c>
      <c r="G126" t="s">
        <v>14</v>
      </c>
      <c r="H126" s="21">
        <v>47</v>
      </c>
      <c r="I126" s="21">
        <v>1150</v>
      </c>
      <c r="J126" t="s">
        <v>15</v>
      </c>
      <c r="K126" s="41">
        <v>478.6</v>
      </c>
    </row>
    <row r="127" spans="1:11" x14ac:dyDescent="0.2">
      <c r="A127" s="43">
        <v>46023</v>
      </c>
      <c r="B127" t="s">
        <v>35</v>
      </c>
      <c r="C127" s="21">
        <v>38001013001</v>
      </c>
      <c r="D127" t="s">
        <v>35</v>
      </c>
      <c r="E127" s="39" t="s">
        <v>540</v>
      </c>
      <c r="F127" s="21">
        <v>1159</v>
      </c>
      <c r="G127" t="s">
        <v>14</v>
      </c>
      <c r="H127" s="21">
        <v>47</v>
      </c>
      <c r="I127" s="21">
        <v>1159</v>
      </c>
      <c r="J127" t="s">
        <v>14</v>
      </c>
      <c r="K127" s="41">
        <v>-397.8</v>
      </c>
    </row>
    <row r="128" spans="1:11" x14ac:dyDescent="0.2">
      <c r="A128" s="43">
        <v>46023</v>
      </c>
      <c r="B128" t="s">
        <v>107</v>
      </c>
      <c r="C128" s="21">
        <v>38001025004</v>
      </c>
      <c r="D128" t="s">
        <v>108</v>
      </c>
      <c r="E128" s="39" t="s">
        <v>540</v>
      </c>
      <c r="F128" s="21">
        <v>1159</v>
      </c>
      <c r="G128" t="s">
        <v>14</v>
      </c>
      <c r="H128" s="21">
        <v>47</v>
      </c>
      <c r="I128" s="21">
        <v>1159</v>
      </c>
      <c r="J128" t="s">
        <v>14</v>
      </c>
      <c r="K128" s="41">
        <v>397.8</v>
      </c>
    </row>
    <row r="129" spans="1:11" x14ac:dyDescent="0.2">
      <c r="A129" s="43">
        <v>46023</v>
      </c>
      <c r="B129" t="s">
        <v>35</v>
      </c>
      <c r="C129" s="21">
        <v>38001013001</v>
      </c>
      <c r="D129" t="s">
        <v>35</v>
      </c>
      <c r="E129" s="39" t="s">
        <v>541</v>
      </c>
      <c r="F129" s="21">
        <v>1159</v>
      </c>
      <c r="G129" t="s">
        <v>14</v>
      </c>
      <c r="H129" s="21">
        <v>47</v>
      </c>
      <c r="I129" s="21">
        <v>1160</v>
      </c>
      <c r="J129" t="s">
        <v>13</v>
      </c>
      <c r="K129" s="41">
        <v>-403.64</v>
      </c>
    </row>
    <row r="130" spans="1:11" x14ac:dyDescent="0.2">
      <c r="A130" s="43">
        <v>46023</v>
      </c>
      <c r="B130" t="s">
        <v>107</v>
      </c>
      <c r="C130" s="21">
        <v>38001025004</v>
      </c>
      <c r="D130" t="s">
        <v>108</v>
      </c>
      <c r="E130" s="39" t="s">
        <v>541</v>
      </c>
      <c r="F130" s="21">
        <v>1159</v>
      </c>
      <c r="G130" t="s">
        <v>14</v>
      </c>
      <c r="H130" s="21">
        <v>47</v>
      </c>
      <c r="I130" s="21">
        <v>1160</v>
      </c>
      <c r="J130" t="s">
        <v>13</v>
      </c>
      <c r="K130" s="41">
        <v>403.64</v>
      </c>
    </row>
    <row r="131" spans="1:11" x14ac:dyDescent="0.2">
      <c r="A131" s="43">
        <v>46023</v>
      </c>
      <c r="B131" t="s">
        <v>35</v>
      </c>
      <c r="C131" s="21">
        <v>38001013002</v>
      </c>
      <c r="D131" t="s">
        <v>34</v>
      </c>
      <c r="E131" s="39" t="s">
        <v>482</v>
      </c>
      <c r="F131" s="21">
        <v>1159</v>
      </c>
      <c r="G131" t="s">
        <v>14</v>
      </c>
      <c r="H131" s="21">
        <v>47</v>
      </c>
      <c r="I131" s="21">
        <v>1150</v>
      </c>
      <c r="J131" t="s">
        <v>15</v>
      </c>
      <c r="K131" s="41">
        <v>-1650</v>
      </c>
    </row>
    <row r="132" spans="1:11" x14ac:dyDescent="0.2">
      <c r="A132" s="43">
        <v>46023</v>
      </c>
      <c r="B132" t="s">
        <v>35</v>
      </c>
      <c r="C132" s="21">
        <v>38001013002</v>
      </c>
      <c r="D132" t="s">
        <v>34</v>
      </c>
      <c r="E132" s="39" t="s">
        <v>546</v>
      </c>
      <c r="F132" s="21">
        <v>1159</v>
      </c>
      <c r="G132" t="s">
        <v>14</v>
      </c>
      <c r="H132" s="21">
        <v>47</v>
      </c>
      <c r="I132" s="21">
        <v>1150</v>
      </c>
      <c r="J132" t="s">
        <v>15</v>
      </c>
      <c r="K132" s="41">
        <v>-8800</v>
      </c>
    </row>
    <row r="133" spans="1:11" x14ac:dyDescent="0.2">
      <c r="A133" s="43">
        <v>46023</v>
      </c>
      <c r="B133" t="s">
        <v>125</v>
      </c>
      <c r="C133" s="21">
        <v>38001027008</v>
      </c>
      <c r="D133" t="s">
        <v>12</v>
      </c>
      <c r="E133" s="39" t="s">
        <v>482</v>
      </c>
      <c r="F133" s="21">
        <v>1159</v>
      </c>
      <c r="G133" t="s">
        <v>14</v>
      </c>
      <c r="H133" s="21">
        <v>47</v>
      </c>
      <c r="I133" s="21">
        <v>1150</v>
      </c>
      <c r="J133" t="s">
        <v>15</v>
      </c>
      <c r="K133" s="41">
        <v>1650</v>
      </c>
    </row>
    <row r="134" spans="1:11" x14ac:dyDescent="0.2">
      <c r="A134" s="43">
        <v>46023</v>
      </c>
      <c r="B134" t="s">
        <v>125</v>
      </c>
      <c r="C134" s="21">
        <v>38001027008</v>
      </c>
      <c r="D134" t="s">
        <v>12</v>
      </c>
      <c r="E134" s="39" t="s">
        <v>546</v>
      </c>
      <c r="F134" s="21">
        <v>1159</v>
      </c>
      <c r="G134" t="s">
        <v>14</v>
      </c>
      <c r="H134" s="21">
        <v>47</v>
      </c>
      <c r="I134" s="21">
        <v>1150</v>
      </c>
      <c r="J134" t="s">
        <v>15</v>
      </c>
      <c r="K134" s="41">
        <v>8800</v>
      </c>
    </row>
    <row r="135" spans="1:11" x14ac:dyDescent="0.2">
      <c r="A135" s="43">
        <v>46023</v>
      </c>
      <c r="B135" t="s">
        <v>35</v>
      </c>
      <c r="C135" s="21">
        <v>38001013001</v>
      </c>
      <c r="D135" t="s">
        <v>35</v>
      </c>
      <c r="E135" s="39" t="s">
        <v>488</v>
      </c>
      <c r="F135" s="21">
        <v>1159</v>
      </c>
      <c r="G135" t="s">
        <v>14</v>
      </c>
      <c r="H135" s="21">
        <v>47</v>
      </c>
      <c r="I135" s="21">
        <v>1150</v>
      </c>
      <c r="J135" t="s">
        <v>15</v>
      </c>
      <c r="K135" s="41">
        <v>-7976.39</v>
      </c>
    </row>
    <row r="136" spans="1:11" x14ac:dyDescent="0.2">
      <c r="A136" s="43">
        <v>46023</v>
      </c>
      <c r="B136" t="s">
        <v>38</v>
      </c>
      <c r="C136" s="21">
        <v>38001023001</v>
      </c>
      <c r="D136" t="s">
        <v>38</v>
      </c>
      <c r="E136" s="39" t="s">
        <v>488</v>
      </c>
      <c r="F136" s="21">
        <v>1159</v>
      </c>
      <c r="G136" t="s">
        <v>14</v>
      </c>
      <c r="H136" s="21">
        <v>47</v>
      </c>
      <c r="I136" s="21">
        <v>1150</v>
      </c>
      <c r="J136" t="s">
        <v>15</v>
      </c>
      <c r="K136" s="41">
        <v>7976.39</v>
      </c>
    </row>
    <row r="137" spans="1:11" x14ac:dyDescent="0.2">
      <c r="A137" s="43">
        <v>46023</v>
      </c>
      <c r="B137" t="s">
        <v>35</v>
      </c>
      <c r="C137" s="21">
        <v>38001013001</v>
      </c>
      <c r="D137" t="s">
        <v>35</v>
      </c>
      <c r="E137" s="39" t="s">
        <v>506</v>
      </c>
      <c r="F137" s="21">
        <v>1159</v>
      </c>
      <c r="G137" t="s">
        <v>14</v>
      </c>
      <c r="H137" s="21">
        <v>47</v>
      </c>
      <c r="I137" s="21">
        <v>1150</v>
      </c>
      <c r="J137" t="s">
        <v>15</v>
      </c>
      <c r="K137" s="41">
        <v>0.67</v>
      </c>
    </row>
    <row r="138" spans="1:11" x14ac:dyDescent="0.2">
      <c r="A138" s="43">
        <v>46023</v>
      </c>
      <c r="B138" t="s">
        <v>35</v>
      </c>
      <c r="C138" s="21">
        <v>38001013001</v>
      </c>
      <c r="D138" t="s">
        <v>35</v>
      </c>
      <c r="E138" s="39" t="s">
        <v>507</v>
      </c>
      <c r="F138" s="21">
        <v>1159</v>
      </c>
      <c r="G138" t="s">
        <v>14</v>
      </c>
      <c r="H138" s="21">
        <v>47</v>
      </c>
      <c r="I138" s="21">
        <v>1150</v>
      </c>
      <c r="J138" t="s">
        <v>15</v>
      </c>
      <c r="K138" s="41">
        <v>53133.31</v>
      </c>
    </row>
    <row r="139" spans="1:11" x14ac:dyDescent="0.2">
      <c r="A139" s="43">
        <v>46023</v>
      </c>
      <c r="B139" t="s">
        <v>35</v>
      </c>
      <c r="C139" s="21">
        <v>38001013001</v>
      </c>
      <c r="D139" t="s">
        <v>35</v>
      </c>
      <c r="E139" s="39" t="s">
        <v>508</v>
      </c>
      <c r="F139" s="21">
        <v>1159</v>
      </c>
      <c r="G139" t="s">
        <v>14</v>
      </c>
      <c r="H139" s="21">
        <v>47</v>
      </c>
      <c r="I139" s="21">
        <v>1150</v>
      </c>
      <c r="J139" t="s">
        <v>15</v>
      </c>
      <c r="K139" s="41">
        <v>-0.67</v>
      </c>
    </row>
    <row r="140" spans="1:11" x14ac:dyDescent="0.2">
      <c r="A140" s="43">
        <v>46023</v>
      </c>
      <c r="B140" t="s">
        <v>35</v>
      </c>
      <c r="C140" s="21">
        <v>38001013002</v>
      </c>
      <c r="D140" t="s">
        <v>34</v>
      </c>
      <c r="E140" s="39" t="s">
        <v>508</v>
      </c>
      <c r="F140" s="21">
        <v>1159</v>
      </c>
      <c r="G140" t="s">
        <v>14</v>
      </c>
      <c r="H140" s="21">
        <v>47</v>
      </c>
      <c r="I140" s="21">
        <v>1150</v>
      </c>
      <c r="J140" t="s">
        <v>15</v>
      </c>
      <c r="K140" s="41">
        <v>0.67</v>
      </c>
    </row>
    <row r="141" spans="1:11" x14ac:dyDescent="0.2">
      <c r="A141" s="43">
        <v>46023</v>
      </c>
      <c r="B141" t="s">
        <v>35</v>
      </c>
      <c r="C141" s="21">
        <v>38001013002</v>
      </c>
      <c r="D141" t="s">
        <v>34</v>
      </c>
      <c r="E141" s="39" t="s">
        <v>506</v>
      </c>
      <c r="F141" s="21">
        <v>1159</v>
      </c>
      <c r="G141" t="s">
        <v>14</v>
      </c>
      <c r="H141" s="21">
        <v>47</v>
      </c>
      <c r="I141" s="21">
        <v>1150</v>
      </c>
      <c r="J141" t="s">
        <v>15</v>
      </c>
      <c r="K141" s="41">
        <v>-0.67</v>
      </c>
    </row>
    <row r="142" spans="1:11" x14ac:dyDescent="0.2">
      <c r="A142" s="43">
        <v>46023</v>
      </c>
      <c r="B142" t="s">
        <v>35</v>
      </c>
      <c r="C142" s="21">
        <v>38001013002</v>
      </c>
      <c r="D142" t="s">
        <v>34</v>
      </c>
      <c r="E142" s="39" t="s">
        <v>507</v>
      </c>
      <c r="F142" s="21">
        <v>1159</v>
      </c>
      <c r="G142" t="s">
        <v>14</v>
      </c>
      <c r="H142" s="21">
        <v>47</v>
      </c>
      <c r="I142" s="21">
        <v>1150</v>
      </c>
      <c r="J142" t="s">
        <v>15</v>
      </c>
      <c r="K142" s="41">
        <v>-53133.31</v>
      </c>
    </row>
    <row r="143" spans="1:11" x14ac:dyDescent="0.2">
      <c r="A143" s="43">
        <v>46023</v>
      </c>
      <c r="B143" t="s">
        <v>35</v>
      </c>
      <c r="C143" s="21">
        <v>38001013001</v>
      </c>
      <c r="D143" t="s">
        <v>35</v>
      </c>
      <c r="E143" s="39" t="s">
        <v>509</v>
      </c>
      <c r="F143" s="21">
        <v>1159</v>
      </c>
      <c r="G143" t="s">
        <v>14</v>
      </c>
      <c r="H143" s="21">
        <v>47</v>
      </c>
      <c r="I143" s="21">
        <v>1159</v>
      </c>
      <c r="J143" t="s">
        <v>14</v>
      </c>
      <c r="K143" s="41">
        <v>59670.559999999998</v>
      </c>
    </row>
    <row r="144" spans="1:11" x14ac:dyDescent="0.2">
      <c r="A144" s="43">
        <v>46023</v>
      </c>
      <c r="B144" t="s">
        <v>35</v>
      </c>
      <c r="C144" s="21">
        <v>38001013002</v>
      </c>
      <c r="D144" t="s">
        <v>34</v>
      </c>
      <c r="E144" s="39" t="s">
        <v>509</v>
      </c>
      <c r="F144" s="21">
        <v>1159</v>
      </c>
      <c r="G144" t="s">
        <v>14</v>
      </c>
      <c r="H144" s="21">
        <v>47</v>
      </c>
      <c r="I144" s="21">
        <v>1159</v>
      </c>
      <c r="J144" t="s">
        <v>14</v>
      </c>
      <c r="K144" s="41">
        <v>-59670.559999999998</v>
      </c>
    </row>
    <row r="145" spans="1:11" x14ac:dyDescent="0.2">
      <c r="A145" s="43">
        <v>46023</v>
      </c>
      <c r="B145" t="s">
        <v>35</v>
      </c>
      <c r="C145" s="21">
        <v>38001013001</v>
      </c>
      <c r="D145" t="s">
        <v>35</v>
      </c>
      <c r="E145" s="39" t="s">
        <v>510</v>
      </c>
      <c r="F145" s="21">
        <v>1159</v>
      </c>
      <c r="G145" t="s">
        <v>14</v>
      </c>
      <c r="H145" s="21">
        <v>47</v>
      </c>
      <c r="I145" s="21">
        <v>1160</v>
      </c>
      <c r="J145" t="s">
        <v>13</v>
      </c>
      <c r="K145" s="41">
        <v>54464.12</v>
      </c>
    </row>
    <row r="146" spans="1:11" x14ac:dyDescent="0.2">
      <c r="A146" s="43">
        <v>46023</v>
      </c>
      <c r="B146" t="s">
        <v>35</v>
      </c>
      <c r="C146" s="21">
        <v>38001013002</v>
      </c>
      <c r="D146" t="s">
        <v>34</v>
      </c>
      <c r="E146" s="39" t="s">
        <v>510</v>
      </c>
      <c r="F146" s="21">
        <v>1159</v>
      </c>
      <c r="G146" t="s">
        <v>14</v>
      </c>
      <c r="H146" s="21">
        <v>47</v>
      </c>
      <c r="I146" s="21">
        <v>1160</v>
      </c>
      <c r="J146" t="s">
        <v>13</v>
      </c>
      <c r="K146" s="41">
        <v>-54464.12</v>
      </c>
    </row>
    <row r="147" spans="1:11" x14ac:dyDescent="0.2">
      <c r="A147" s="43">
        <v>46023</v>
      </c>
      <c r="B147" t="s">
        <v>35</v>
      </c>
      <c r="C147" s="21">
        <v>38001013001</v>
      </c>
      <c r="D147" t="s">
        <v>35</v>
      </c>
      <c r="E147" s="39" t="s">
        <v>489</v>
      </c>
      <c r="F147" s="21">
        <v>1159</v>
      </c>
      <c r="G147" t="s">
        <v>14</v>
      </c>
      <c r="H147" s="21">
        <v>47</v>
      </c>
      <c r="I147" s="21">
        <v>1159</v>
      </c>
      <c r="J147" t="s">
        <v>14</v>
      </c>
      <c r="K147" s="41">
        <v>-6630.07</v>
      </c>
    </row>
    <row r="148" spans="1:11" x14ac:dyDescent="0.2">
      <c r="A148" s="43">
        <v>46023</v>
      </c>
      <c r="B148" t="s">
        <v>38</v>
      </c>
      <c r="C148" s="21">
        <v>38001023001</v>
      </c>
      <c r="D148" t="s">
        <v>38</v>
      </c>
      <c r="E148" s="39" t="s">
        <v>489</v>
      </c>
      <c r="F148" s="21">
        <v>1159</v>
      </c>
      <c r="G148" t="s">
        <v>14</v>
      </c>
      <c r="H148" s="21">
        <v>47</v>
      </c>
      <c r="I148" s="21">
        <v>1159</v>
      </c>
      <c r="J148" t="s">
        <v>14</v>
      </c>
      <c r="K148" s="41">
        <v>6630.07</v>
      </c>
    </row>
    <row r="149" spans="1:11" x14ac:dyDescent="0.2">
      <c r="A149" s="43">
        <v>46023</v>
      </c>
      <c r="B149" t="s">
        <v>35</v>
      </c>
      <c r="C149" s="21">
        <v>38001013001</v>
      </c>
      <c r="D149" t="s">
        <v>35</v>
      </c>
      <c r="E149" s="39" t="s">
        <v>490</v>
      </c>
      <c r="F149" s="21">
        <v>1159</v>
      </c>
      <c r="G149" t="s">
        <v>14</v>
      </c>
      <c r="H149" s="21">
        <v>47</v>
      </c>
      <c r="I149" s="21">
        <v>1160</v>
      </c>
      <c r="J149" t="s">
        <v>13</v>
      </c>
      <c r="K149" s="41">
        <v>-6727.47</v>
      </c>
    </row>
    <row r="150" spans="1:11" x14ac:dyDescent="0.2">
      <c r="A150" s="43">
        <v>46023</v>
      </c>
      <c r="B150" t="s">
        <v>38</v>
      </c>
      <c r="C150" s="21">
        <v>38001023001</v>
      </c>
      <c r="D150" t="s">
        <v>38</v>
      </c>
      <c r="E150" s="39" t="s">
        <v>490</v>
      </c>
      <c r="F150" s="21">
        <v>1159</v>
      </c>
      <c r="G150" t="s">
        <v>14</v>
      </c>
      <c r="H150" s="21">
        <v>47</v>
      </c>
      <c r="I150" s="21">
        <v>1160</v>
      </c>
      <c r="J150" t="s">
        <v>13</v>
      </c>
      <c r="K150" s="41">
        <v>6727.47</v>
      </c>
    </row>
    <row r="151" spans="1:11" x14ac:dyDescent="0.2">
      <c r="A151" s="43">
        <v>46023</v>
      </c>
      <c r="B151" t="s">
        <v>35</v>
      </c>
      <c r="C151" s="21">
        <v>38001013002</v>
      </c>
      <c r="D151" t="s">
        <v>34</v>
      </c>
      <c r="E151" s="39" t="s">
        <v>546</v>
      </c>
      <c r="F151" s="21">
        <v>1159</v>
      </c>
      <c r="G151" t="s">
        <v>14</v>
      </c>
      <c r="H151" s="21">
        <v>47</v>
      </c>
      <c r="I151" s="21">
        <v>1159</v>
      </c>
      <c r="J151" t="s">
        <v>14</v>
      </c>
      <c r="K151" s="41">
        <v>-3810.4</v>
      </c>
    </row>
    <row r="152" spans="1:11" x14ac:dyDescent="0.2">
      <c r="A152" s="43">
        <v>46023</v>
      </c>
      <c r="B152" t="s">
        <v>125</v>
      </c>
      <c r="C152" s="21">
        <v>38001027008</v>
      </c>
      <c r="D152" t="s">
        <v>12</v>
      </c>
      <c r="E152" s="39" t="s">
        <v>546</v>
      </c>
      <c r="F152" s="21">
        <v>1159</v>
      </c>
      <c r="G152" t="s">
        <v>14</v>
      </c>
      <c r="H152" s="21">
        <v>47</v>
      </c>
      <c r="I152" s="21">
        <v>1159</v>
      </c>
      <c r="J152" t="s">
        <v>14</v>
      </c>
      <c r="K152" s="41">
        <v>3810.4</v>
      </c>
    </row>
    <row r="153" spans="1:11" x14ac:dyDescent="0.2">
      <c r="A153" s="43">
        <v>46023</v>
      </c>
      <c r="B153" t="s">
        <v>35</v>
      </c>
      <c r="C153" s="21">
        <v>38001013002</v>
      </c>
      <c r="D153" t="s">
        <v>34</v>
      </c>
      <c r="E153" s="39" t="s">
        <v>482</v>
      </c>
      <c r="F153" s="21">
        <v>1159</v>
      </c>
      <c r="G153" t="s">
        <v>14</v>
      </c>
      <c r="H153" s="21">
        <v>47</v>
      </c>
      <c r="I153" s="21">
        <v>1160</v>
      </c>
      <c r="J153" t="s">
        <v>13</v>
      </c>
      <c r="K153" s="41">
        <v>-1650</v>
      </c>
    </row>
    <row r="154" spans="1:11" x14ac:dyDescent="0.2">
      <c r="A154" s="43">
        <v>46023</v>
      </c>
      <c r="B154" t="s">
        <v>35</v>
      </c>
      <c r="C154" s="21">
        <v>38001013002</v>
      </c>
      <c r="D154" t="s">
        <v>34</v>
      </c>
      <c r="E154" s="39" t="s">
        <v>546</v>
      </c>
      <c r="F154" s="21">
        <v>1159</v>
      </c>
      <c r="G154" t="s">
        <v>14</v>
      </c>
      <c r="H154" s="21">
        <v>47</v>
      </c>
      <c r="I154" s="21">
        <v>1160</v>
      </c>
      <c r="J154" t="s">
        <v>13</v>
      </c>
      <c r="K154" s="41">
        <v>-6160</v>
      </c>
    </row>
    <row r="155" spans="1:11" x14ac:dyDescent="0.2">
      <c r="A155" s="43">
        <v>46023</v>
      </c>
      <c r="B155" t="s">
        <v>125</v>
      </c>
      <c r="C155" s="21">
        <v>38001027008</v>
      </c>
      <c r="D155" t="s">
        <v>12</v>
      </c>
      <c r="E155" s="39" t="s">
        <v>482</v>
      </c>
      <c r="F155" s="21">
        <v>1159</v>
      </c>
      <c r="G155" t="s">
        <v>14</v>
      </c>
      <c r="H155" s="21">
        <v>47</v>
      </c>
      <c r="I155" s="21">
        <v>1160</v>
      </c>
      <c r="J155" t="s">
        <v>13</v>
      </c>
      <c r="K155" s="41">
        <v>1650</v>
      </c>
    </row>
    <row r="156" spans="1:11" x14ac:dyDescent="0.2">
      <c r="A156" s="43">
        <v>46023</v>
      </c>
      <c r="B156" t="s">
        <v>125</v>
      </c>
      <c r="C156" s="21">
        <v>38001027008</v>
      </c>
      <c r="D156" t="s">
        <v>12</v>
      </c>
      <c r="E156" s="39" t="s">
        <v>546</v>
      </c>
      <c r="F156" s="21">
        <v>1159</v>
      </c>
      <c r="G156" t="s">
        <v>14</v>
      </c>
      <c r="H156" s="21">
        <v>47</v>
      </c>
      <c r="I156" s="21">
        <v>1160</v>
      </c>
      <c r="J156" t="s">
        <v>13</v>
      </c>
      <c r="K156" s="41">
        <v>6160</v>
      </c>
    </row>
    <row r="157" spans="1:11" x14ac:dyDescent="0.2">
      <c r="A157" s="43">
        <v>46023</v>
      </c>
      <c r="B157" t="s">
        <v>35</v>
      </c>
      <c r="C157" s="21">
        <v>38001013002</v>
      </c>
      <c r="D157" t="s">
        <v>34</v>
      </c>
      <c r="E157" s="39" t="s">
        <v>500</v>
      </c>
      <c r="F157" s="21">
        <v>1159</v>
      </c>
      <c r="G157" t="s">
        <v>14</v>
      </c>
      <c r="H157" s="21">
        <v>47</v>
      </c>
      <c r="I157" s="21">
        <v>1150</v>
      </c>
      <c r="J157" t="s">
        <v>15</v>
      </c>
      <c r="K157" s="41">
        <v>-6240.41</v>
      </c>
    </row>
    <row r="158" spans="1:11" x14ac:dyDescent="0.2">
      <c r="A158" s="43">
        <v>46023</v>
      </c>
      <c r="B158" t="s">
        <v>35</v>
      </c>
      <c r="C158" s="21">
        <v>38001013004</v>
      </c>
      <c r="D158" t="s">
        <v>33</v>
      </c>
      <c r="E158" s="39" t="s">
        <v>500</v>
      </c>
      <c r="F158" s="21">
        <v>1159</v>
      </c>
      <c r="G158" t="s">
        <v>14</v>
      </c>
      <c r="H158" s="21">
        <v>47</v>
      </c>
      <c r="I158" s="21">
        <v>1150</v>
      </c>
      <c r="J158" t="s">
        <v>15</v>
      </c>
      <c r="K158" s="41">
        <v>6240.41</v>
      </c>
    </row>
    <row r="159" spans="1:11" x14ac:dyDescent="0.2">
      <c r="A159" s="43">
        <v>46023</v>
      </c>
      <c r="B159" t="s">
        <v>35</v>
      </c>
      <c r="C159" s="21">
        <v>38001013002</v>
      </c>
      <c r="D159" t="s">
        <v>34</v>
      </c>
      <c r="E159" s="39" t="s">
        <v>501</v>
      </c>
      <c r="F159" s="21">
        <v>1159</v>
      </c>
      <c r="G159" t="s">
        <v>14</v>
      </c>
      <c r="H159" s="21">
        <v>47</v>
      </c>
      <c r="I159" s="21">
        <v>1159</v>
      </c>
      <c r="J159" t="s">
        <v>14</v>
      </c>
      <c r="K159" s="41">
        <v>-4773.63</v>
      </c>
    </row>
    <row r="160" spans="1:11" x14ac:dyDescent="0.2">
      <c r="A160" s="43">
        <v>46023</v>
      </c>
      <c r="B160" t="s">
        <v>35</v>
      </c>
      <c r="C160" s="21">
        <v>38001013004</v>
      </c>
      <c r="D160" t="s">
        <v>33</v>
      </c>
      <c r="E160" s="39" t="s">
        <v>501</v>
      </c>
      <c r="F160" s="21">
        <v>1159</v>
      </c>
      <c r="G160" t="s">
        <v>14</v>
      </c>
      <c r="H160" s="21">
        <v>47</v>
      </c>
      <c r="I160" s="21">
        <v>1159</v>
      </c>
      <c r="J160" t="s">
        <v>14</v>
      </c>
      <c r="K160" s="41">
        <v>4773.63</v>
      </c>
    </row>
    <row r="161" spans="1:11" x14ac:dyDescent="0.2">
      <c r="A161" s="43">
        <v>46023</v>
      </c>
      <c r="B161" t="s">
        <v>35</v>
      </c>
      <c r="C161" s="21">
        <v>38001013002</v>
      </c>
      <c r="D161" t="s">
        <v>34</v>
      </c>
      <c r="E161" s="39" t="s">
        <v>502</v>
      </c>
      <c r="F161" s="21">
        <v>1159</v>
      </c>
      <c r="G161" t="s">
        <v>14</v>
      </c>
      <c r="H161" s="21">
        <v>47</v>
      </c>
      <c r="I161" s="21">
        <v>1160</v>
      </c>
      <c r="J161" t="s">
        <v>13</v>
      </c>
      <c r="K161" s="41">
        <v>-5005.93</v>
      </c>
    </row>
    <row r="162" spans="1:11" x14ac:dyDescent="0.2">
      <c r="A162" s="43">
        <v>46023</v>
      </c>
      <c r="B162" t="s">
        <v>35</v>
      </c>
      <c r="C162" s="21">
        <v>38001013004</v>
      </c>
      <c r="D162" t="s">
        <v>33</v>
      </c>
      <c r="E162" s="39" t="s">
        <v>502</v>
      </c>
      <c r="F162" s="21">
        <v>1159</v>
      </c>
      <c r="G162" t="s">
        <v>14</v>
      </c>
      <c r="H162" s="21">
        <v>47</v>
      </c>
      <c r="I162" s="21">
        <v>1160</v>
      </c>
      <c r="J162" t="s">
        <v>13</v>
      </c>
      <c r="K162" s="41">
        <v>5005.93</v>
      </c>
    </row>
    <row r="163" spans="1:11" x14ac:dyDescent="0.2">
      <c r="A163" s="43">
        <v>46023</v>
      </c>
      <c r="B163" t="s">
        <v>35</v>
      </c>
      <c r="C163" s="21">
        <v>38001013001</v>
      </c>
      <c r="D163" t="s">
        <v>35</v>
      </c>
      <c r="E163" s="39" t="s">
        <v>497</v>
      </c>
      <c r="F163" s="21">
        <v>1159</v>
      </c>
      <c r="G163" t="s">
        <v>14</v>
      </c>
      <c r="H163" s="21">
        <v>47</v>
      </c>
      <c r="I163" s="21">
        <v>1150</v>
      </c>
      <c r="J163" t="s">
        <v>15</v>
      </c>
      <c r="K163" s="41">
        <v>-5982.31</v>
      </c>
    </row>
    <row r="164" spans="1:11" x14ac:dyDescent="0.2">
      <c r="A164" s="43">
        <v>46023</v>
      </c>
      <c r="B164" t="s">
        <v>107</v>
      </c>
      <c r="C164" s="21">
        <v>38001025001</v>
      </c>
      <c r="D164" t="s">
        <v>107</v>
      </c>
      <c r="E164" s="39" t="s">
        <v>497</v>
      </c>
      <c r="F164" s="21">
        <v>1159</v>
      </c>
      <c r="G164" t="s">
        <v>14</v>
      </c>
      <c r="H164" s="21">
        <v>47</v>
      </c>
      <c r="I164" s="21">
        <v>1150</v>
      </c>
      <c r="J164" t="s">
        <v>15</v>
      </c>
      <c r="K164" s="41">
        <v>5982.31</v>
      </c>
    </row>
    <row r="165" spans="1:11" x14ac:dyDescent="0.2">
      <c r="A165" s="43">
        <v>46023</v>
      </c>
      <c r="B165" t="s">
        <v>35</v>
      </c>
      <c r="C165" s="21">
        <v>38001013001</v>
      </c>
      <c r="D165" t="s">
        <v>35</v>
      </c>
      <c r="E165" s="39" t="s">
        <v>498</v>
      </c>
      <c r="F165" s="21">
        <v>1159</v>
      </c>
      <c r="G165" t="s">
        <v>14</v>
      </c>
      <c r="H165" s="21">
        <v>47</v>
      </c>
      <c r="I165" s="21">
        <v>1159</v>
      </c>
      <c r="J165" t="s">
        <v>14</v>
      </c>
      <c r="K165" s="41">
        <v>-4972.55</v>
      </c>
    </row>
    <row r="166" spans="1:11" x14ac:dyDescent="0.2">
      <c r="A166" s="43">
        <v>46023</v>
      </c>
      <c r="B166" t="s">
        <v>107</v>
      </c>
      <c r="C166" s="21">
        <v>38001025001</v>
      </c>
      <c r="D166" t="s">
        <v>107</v>
      </c>
      <c r="E166" s="39" t="s">
        <v>498</v>
      </c>
      <c r="F166" s="21">
        <v>1159</v>
      </c>
      <c r="G166" t="s">
        <v>14</v>
      </c>
      <c r="H166" s="21">
        <v>47</v>
      </c>
      <c r="I166" s="21">
        <v>1159</v>
      </c>
      <c r="J166" t="s">
        <v>14</v>
      </c>
      <c r="K166" s="41">
        <v>4972.55</v>
      </c>
    </row>
    <row r="167" spans="1:11" x14ac:dyDescent="0.2">
      <c r="A167" s="43">
        <v>46023</v>
      </c>
      <c r="B167" t="s">
        <v>35</v>
      </c>
      <c r="C167" s="21">
        <v>38001013001</v>
      </c>
      <c r="D167" t="s">
        <v>35</v>
      </c>
      <c r="E167" s="39" t="s">
        <v>499</v>
      </c>
      <c r="F167" s="21">
        <v>1159</v>
      </c>
      <c r="G167" t="s">
        <v>14</v>
      </c>
      <c r="H167" s="21">
        <v>47</v>
      </c>
      <c r="I167" s="21">
        <v>1160</v>
      </c>
      <c r="J167" t="s">
        <v>13</v>
      </c>
      <c r="K167" s="41">
        <v>-5045.59</v>
      </c>
    </row>
    <row r="168" spans="1:11" x14ac:dyDescent="0.2">
      <c r="A168" s="43">
        <v>46023</v>
      </c>
      <c r="B168" t="s">
        <v>107</v>
      </c>
      <c r="C168" s="21">
        <v>38001025001</v>
      </c>
      <c r="D168" t="s">
        <v>107</v>
      </c>
      <c r="E168" s="39" t="s">
        <v>499</v>
      </c>
      <c r="F168" s="21">
        <v>1159</v>
      </c>
      <c r="G168" t="s">
        <v>14</v>
      </c>
      <c r="H168" s="21">
        <v>47</v>
      </c>
      <c r="I168" s="21">
        <v>1160</v>
      </c>
      <c r="J168" t="s">
        <v>13</v>
      </c>
      <c r="K168" s="41">
        <v>5045.59</v>
      </c>
    </row>
    <row r="169" spans="1:11" x14ac:dyDescent="0.2">
      <c r="A169" s="43">
        <v>46023</v>
      </c>
      <c r="B169" t="s">
        <v>35</v>
      </c>
      <c r="C169" s="21">
        <v>38001013001</v>
      </c>
      <c r="D169" t="s">
        <v>35</v>
      </c>
      <c r="E169" s="39" t="s">
        <v>470</v>
      </c>
      <c r="F169" s="21">
        <v>1159</v>
      </c>
      <c r="G169" t="s">
        <v>14</v>
      </c>
      <c r="H169" s="21">
        <v>47</v>
      </c>
      <c r="I169" s="21">
        <v>1150</v>
      </c>
      <c r="J169" t="s">
        <v>15</v>
      </c>
      <c r="K169" s="41">
        <v>-279.60000000000002</v>
      </c>
    </row>
    <row r="170" spans="1:11" x14ac:dyDescent="0.2">
      <c r="A170" s="43">
        <v>46023</v>
      </c>
      <c r="B170" t="s">
        <v>35</v>
      </c>
      <c r="C170" s="21">
        <v>38001013002</v>
      </c>
      <c r="D170" t="s">
        <v>34</v>
      </c>
      <c r="E170" s="39" t="s">
        <v>470</v>
      </c>
      <c r="F170" s="21">
        <v>1159</v>
      </c>
      <c r="G170" t="s">
        <v>14</v>
      </c>
      <c r="H170" s="21">
        <v>47</v>
      </c>
      <c r="I170" s="21">
        <v>1150</v>
      </c>
      <c r="J170" t="s">
        <v>15</v>
      </c>
      <c r="K170" s="41">
        <v>279.60000000000002</v>
      </c>
    </row>
    <row r="171" spans="1:11" x14ac:dyDescent="0.2">
      <c r="A171" s="43">
        <v>46023</v>
      </c>
      <c r="B171" t="s">
        <v>35</v>
      </c>
      <c r="C171" s="21">
        <v>38001013002</v>
      </c>
      <c r="D171" t="s">
        <v>34</v>
      </c>
      <c r="E171" s="39" t="s">
        <v>545</v>
      </c>
      <c r="F171" s="21">
        <v>1159</v>
      </c>
      <c r="G171" t="s">
        <v>14</v>
      </c>
      <c r="H171" s="21">
        <v>47</v>
      </c>
      <c r="I171" s="21">
        <v>1150</v>
      </c>
      <c r="J171" t="s">
        <v>15</v>
      </c>
      <c r="K171" s="41">
        <v>3269.92</v>
      </c>
    </row>
    <row r="172" spans="1:11" x14ac:dyDescent="0.2">
      <c r="A172" s="43">
        <v>46023</v>
      </c>
      <c r="B172" t="s">
        <v>35</v>
      </c>
      <c r="C172" s="21">
        <v>38001013002</v>
      </c>
      <c r="D172" t="s">
        <v>34</v>
      </c>
      <c r="E172" s="39" t="s">
        <v>545</v>
      </c>
      <c r="F172" s="21">
        <v>1159</v>
      </c>
      <c r="G172" t="s">
        <v>14</v>
      </c>
      <c r="H172" s="21">
        <v>47</v>
      </c>
      <c r="I172" s="21">
        <v>1159</v>
      </c>
      <c r="J172" t="s">
        <v>14</v>
      </c>
      <c r="K172" s="41">
        <v>18.760000000000002</v>
      </c>
    </row>
    <row r="173" spans="1:11" x14ac:dyDescent="0.2">
      <c r="A173" s="43">
        <v>46023</v>
      </c>
      <c r="B173" t="s">
        <v>35</v>
      </c>
      <c r="C173" s="21">
        <v>38001013002</v>
      </c>
      <c r="D173" t="s">
        <v>34</v>
      </c>
      <c r="E173" s="39" t="s">
        <v>545</v>
      </c>
      <c r="F173" s="21">
        <v>1159</v>
      </c>
      <c r="G173" t="s">
        <v>14</v>
      </c>
      <c r="H173" s="21">
        <v>47</v>
      </c>
      <c r="I173" s="21">
        <v>1160</v>
      </c>
      <c r="J173" t="s">
        <v>13</v>
      </c>
      <c r="K173" s="41">
        <v>1571.64</v>
      </c>
    </row>
    <row r="174" spans="1:11" x14ac:dyDescent="0.2">
      <c r="A174" s="43">
        <v>46023</v>
      </c>
      <c r="B174" t="s">
        <v>35</v>
      </c>
      <c r="C174" s="21">
        <v>38001013001</v>
      </c>
      <c r="D174" t="s">
        <v>35</v>
      </c>
      <c r="E174" s="39" t="s">
        <v>491</v>
      </c>
      <c r="F174" s="21">
        <v>1159</v>
      </c>
      <c r="G174" t="s">
        <v>14</v>
      </c>
      <c r="H174" s="21">
        <v>47</v>
      </c>
      <c r="I174" s="21">
        <v>1150</v>
      </c>
      <c r="J174" t="s">
        <v>15</v>
      </c>
      <c r="K174" s="41">
        <v>-131.46</v>
      </c>
    </row>
    <row r="175" spans="1:11" x14ac:dyDescent="0.2">
      <c r="A175" s="43">
        <v>46023</v>
      </c>
      <c r="B175" t="s">
        <v>35</v>
      </c>
      <c r="C175" s="21">
        <v>38001013002</v>
      </c>
      <c r="D175" t="s">
        <v>34</v>
      </c>
      <c r="E175" s="39" t="s">
        <v>491</v>
      </c>
      <c r="F175" s="21">
        <v>1159</v>
      </c>
      <c r="G175" t="s">
        <v>14</v>
      </c>
      <c r="H175" s="21">
        <v>47</v>
      </c>
      <c r="I175" s="21">
        <v>1150</v>
      </c>
      <c r="J175" t="s">
        <v>15</v>
      </c>
      <c r="K175" s="41">
        <v>131.46</v>
      </c>
    </row>
    <row r="176" spans="1:11" x14ac:dyDescent="0.2">
      <c r="A176" s="43">
        <v>46023</v>
      </c>
      <c r="B176" t="s">
        <v>35</v>
      </c>
      <c r="C176" s="21">
        <v>38001013001</v>
      </c>
      <c r="D176" t="s">
        <v>35</v>
      </c>
      <c r="E176" s="39" t="s">
        <v>492</v>
      </c>
      <c r="F176" s="21">
        <v>1159</v>
      </c>
      <c r="G176" t="s">
        <v>14</v>
      </c>
      <c r="H176" s="21">
        <v>47</v>
      </c>
      <c r="I176" s="21">
        <v>1159</v>
      </c>
      <c r="J176" t="s">
        <v>14</v>
      </c>
      <c r="K176" s="41">
        <v>-46.3</v>
      </c>
    </row>
    <row r="177" spans="1:11" x14ac:dyDescent="0.2">
      <c r="A177" s="43">
        <v>46023</v>
      </c>
      <c r="B177" t="s">
        <v>35</v>
      </c>
      <c r="C177" s="21">
        <v>38001013002</v>
      </c>
      <c r="D177" t="s">
        <v>34</v>
      </c>
      <c r="E177" s="39" t="s">
        <v>492</v>
      </c>
      <c r="F177" s="21">
        <v>1159</v>
      </c>
      <c r="G177" t="s">
        <v>14</v>
      </c>
      <c r="H177" s="21">
        <v>47</v>
      </c>
      <c r="I177" s="21">
        <v>1159</v>
      </c>
      <c r="J177" t="s">
        <v>14</v>
      </c>
      <c r="K177" s="41">
        <v>46.3</v>
      </c>
    </row>
    <row r="178" spans="1:11" x14ac:dyDescent="0.2">
      <c r="A178" s="43">
        <v>46023</v>
      </c>
      <c r="B178" t="s">
        <v>35</v>
      </c>
      <c r="C178" s="21">
        <v>38001013001</v>
      </c>
      <c r="D178" t="s">
        <v>35</v>
      </c>
      <c r="E178" s="39" t="s">
        <v>493</v>
      </c>
      <c r="F178" s="21">
        <v>1159</v>
      </c>
      <c r="G178" t="s">
        <v>14</v>
      </c>
      <c r="H178" s="21">
        <v>47</v>
      </c>
      <c r="I178" s="21">
        <v>1160</v>
      </c>
      <c r="J178" t="s">
        <v>13</v>
      </c>
      <c r="K178" s="41">
        <v>-24.02</v>
      </c>
    </row>
    <row r="179" spans="1:11" x14ac:dyDescent="0.2">
      <c r="A179" s="43">
        <v>46023</v>
      </c>
      <c r="B179" t="s">
        <v>35</v>
      </c>
      <c r="C179" s="21">
        <v>38001013002</v>
      </c>
      <c r="D179" t="s">
        <v>34</v>
      </c>
      <c r="E179" s="39" t="s">
        <v>493</v>
      </c>
      <c r="F179" s="21">
        <v>1159</v>
      </c>
      <c r="G179" t="s">
        <v>14</v>
      </c>
      <c r="H179" s="21">
        <v>47</v>
      </c>
      <c r="I179" s="21">
        <v>1160</v>
      </c>
      <c r="J179" t="s">
        <v>13</v>
      </c>
      <c r="K179" s="41">
        <v>24.02</v>
      </c>
    </row>
    <row r="180" spans="1:11" x14ac:dyDescent="0.2">
      <c r="A180" s="43">
        <v>46023</v>
      </c>
      <c r="B180" t="s">
        <v>66</v>
      </c>
      <c r="C180" s="21">
        <v>38001011002</v>
      </c>
      <c r="D180" t="s">
        <v>67</v>
      </c>
      <c r="E180" s="39" t="s">
        <v>547</v>
      </c>
      <c r="F180" s="21">
        <v>1159</v>
      </c>
      <c r="G180" t="s">
        <v>14</v>
      </c>
      <c r="H180" s="21">
        <v>47</v>
      </c>
      <c r="I180" s="21">
        <v>1150</v>
      </c>
      <c r="J180" t="s">
        <v>15</v>
      </c>
      <c r="K180" s="41">
        <v>21809.91</v>
      </c>
    </row>
    <row r="181" spans="1:11" x14ac:dyDescent="0.2">
      <c r="A181" s="43">
        <v>46023</v>
      </c>
      <c r="B181" t="s">
        <v>66</v>
      </c>
      <c r="C181" s="21">
        <v>38001011002</v>
      </c>
      <c r="D181" t="s">
        <v>67</v>
      </c>
      <c r="E181" s="39" t="s">
        <v>548</v>
      </c>
      <c r="F181" s="21">
        <v>1159</v>
      </c>
      <c r="G181" t="s">
        <v>14</v>
      </c>
      <c r="H181" s="21">
        <v>47</v>
      </c>
      <c r="I181" s="21">
        <v>1150</v>
      </c>
      <c r="J181" t="s">
        <v>15</v>
      </c>
      <c r="K181" s="41">
        <v>43926.239999999998</v>
      </c>
    </row>
    <row r="182" spans="1:11" x14ac:dyDescent="0.2">
      <c r="A182" s="43">
        <v>46023</v>
      </c>
      <c r="B182" t="s">
        <v>35</v>
      </c>
      <c r="C182" s="21">
        <v>38001013002</v>
      </c>
      <c r="D182" t="s">
        <v>34</v>
      </c>
      <c r="E182" s="39" t="s">
        <v>546</v>
      </c>
      <c r="F182" s="21">
        <v>1159</v>
      </c>
      <c r="G182" t="s">
        <v>14</v>
      </c>
      <c r="H182" s="21">
        <v>47</v>
      </c>
      <c r="I182" s="21">
        <v>1150</v>
      </c>
      <c r="J182" t="s">
        <v>15</v>
      </c>
      <c r="K182" s="41">
        <v>8800</v>
      </c>
    </row>
    <row r="183" spans="1:11" x14ac:dyDescent="0.2">
      <c r="A183" s="43">
        <v>46023</v>
      </c>
      <c r="B183" t="s">
        <v>35</v>
      </c>
      <c r="C183" s="21">
        <v>38001013002</v>
      </c>
      <c r="D183" t="s">
        <v>34</v>
      </c>
      <c r="E183" s="39" t="s">
        <v>546</v>
      </c>
      <c r="F183" s="21">
        <v>1159</v>
      </c>
      <c r="G183" t="s">
        <v>14</v>
      </c>
      <c r="H183" s="21">
        <v>47</v>
      </c>
      <c r="I183" s="21">
        <v>1159</v>
      </c>
      <c r="J183" t="s">
        <v>14</v>
      </c>
      <c r="K183" s="41">
        <v>3810.4</v>
      </c>
    </row>
    <row r="184" spans="1:11" x14ac:dyDescent="0.2">
      <c r="A184" s="43">
        <v>46023</v>
      </c>
      <c r="B184" t="s">
        <v>35</v>
      </c>
      <c r="C184" s="21">
        <v>38001013002</v>
      </c>
      <c r="D184" t="s">
        <v>34</v>
      </c>
      <c r="E184" s="39" t="s">
        <v>546</v>
      </c>
      <c r="F184" s="21">
        <v>1159</v>
      </c>
      <c r="G184" t="s">
        <v>14</v>
      </c>
      <c r="H184" s="21">
        <v>47</v>
      </c>
      <c r="I184" s="21">
        <v>1160</v>
      </c>
      <c r="J184" t="s">
        <v>13</v>
      </c>
      <c r="K184" s="41">
        <v>6160</v>
      </c>
    </row>
    <row r="185" spans="1:11" x14ac:dyDescent="0.2">
      <c r="A185" s="43">
        <v>46023</v>
      </c>
      <c r="B185" t="s">
        <v>66</v>
      </c>
      <c r="C185" s="21">
        <v>38001011003</v>
      </c>
      <c r="D185" t="s">
        <v>68</v>
      </c>
      <c r="E185" s="39" t="s">
        <v>549</v>
      </c>
      <c r="F185" s="21">
        <v>1159</v>
      </c>
      <c r="G185" t="s">
        <v>14</v>
      </c>
      <c r="H185" s="21">
        <v>47</v>
      </c>
      <c r="I185" s="21">
        <v>1150</v>
      </c>
      <c r="J185" t="s">
        <v>15</v>
      </c>
      <c r="K185" s="41">
        <v>3305.79</v>
      </c>
    </row>
    <row r="186" spans="1:11" x14ac:dyDescent="0.2">
      <c r="A186" s="43">
        <v>46023</v>
      </c>
      <c r="B186" t="s">
        <v>41</v>
      </c>
      <c r="C186" s="21">
        <v>38001019001</v>
      </c>
      <c r="D186" t="s">
        <v>55</v>
      </c>
      <c r="E186" s="39" t="s">
        <v>550</v>
      </c>
      <c r="F186" s="21">
        <v>1159</v>
      </c>
      <c r="G186" t="s">
        <v>14</v>
      </c>
      <c r="H186" s="21">
        <v>47</v>
      </c>
      <c r="I186" s="21">
        <v>1159</v>
      </c>
      <c r="J186" t="s">
        <v>14</v>
      </c>
      <c r="K186" s="41">
        <v>322</v>
      </c>
    </row>
    <row r="187" spans="1:11" x14ac:dyDescent="0.2">
      <c r="A187" s="43">
        <v>46023</v>
      </c>
      <c r="B187" t="s">
        <v>66</v>
      </c>
      <c r="C187" s="21">
        <v>38001011004</v>
      </c>
      <c r="D187" t="s">
        <v>65</v>
      </c>
      <c r="E187" s="39" t="s">
        <v>551</v>
      </c>
      <c r="F187" s="21">
        <v>1159</v>
      </c>
      <c r="G187" t="s">
        <v>14</v>
      </c>
      <c r="H187" s="21">
        <v>47</v>
      </c>
      <c r="I187" s="21">
        <v>1159</v>
      </c>
      <c r="J187" t="s">
        <v>14</v>
      </c>
      <c r="K187" s="41">
        <v>165.39</v>
      </c>
    </row>
    <row r="188" spans="1:11" x14ac:dyDescent="0.2">
      <c r="A188" s="43">
        <v>46023</v>
      </c>
      <c r="B188" t="s">
        <v>46</v>
      </c>
      <c r="C188" s="21">
        <v>38001002001</v>
      </c>
      <c r="D188" t="s">
        <v>48</v>
      </c>
      <c r="E188" s="39" t="s">
        <v>552</v>
      </c>
      <c r="F188" s="21">
        <v>1159</v>
      </c>
      <c r="G188" t="s">
        <v>14</v>
      </c>
      <c r="H188" s="21">
        <v>47</v>
      </c>
      <c r="I188" s="21">
        <v>1160</v>
      </c>
      <c r="J188" t="s">
        <v>13</v>
      </c>
      <c r="K188" s="41">
        <v>656.36</v>
      </c>
    </row>
    <row r="189" spans="1:11" x14ac:dyDescent="0.2">
      <c r="A189" s="43">
        <v>46023</v>
      </c>
      <c r="B189" t="s">
        <v>46</v>
      </c>
      <c r="C189" s="21">
        <v>38001002001</v>
      </c>
      <c r="D189" t="s">
        <v>48</v>
      </c>
      <c r="E189" s="39" t="s">
        <v>553</v>
      </c>
      <c r="F189" s="21">
        <v>1159</v>
      </c>
      <c r="G189" t="s">
        <v>14</v>
      </c>
      <c r="H189" s="21">
        <v>47</v>
      </c>
      <c r="I189" s="21">
        <v>1160</v>
      </c>
      <c r="J189" t="s">
        <v>13</v>
      </c>
      <c r="K189" s="41">
        <v>6883.07</v>
      </c>
    </row>
    <row r="190" spans="1:11" x14ac:dyDescent="0.2">
      <c r="A190" s="43">
        <v>46023</v>
      </c>
      <c r="B190" t="s">
        <v>66</v>
      </c>
      <c r="C190" s="21">
        <v>38001011004</v>
      </c>
      <c r="D190" t="s">
        <v>65</v>
      </c>
      <c r="E190" s="39" t="s">
        <v>554</v>
      </c>
      <c r="F190" s="21">
        <v>1159</v>
      </c>
      <c r="G190" t="s">
        <v>14</v>
      </c>
      <c r="H190" s="21">
        <v>47</v>
      </c>
      <c r="I190" s="21">
        <v>1150</v>
      </c>
      <c r="J190" t="s">
        <v>15</v>
      </c>
      <c r="K190" s="41">
        <v>2700</v>
      </c>
    </row>
    <row r="191" spans="1:11" x14ac:dyDescent="0.2">
      <c r="A191" s="43">
        <v>46023</v>
      </c>
      <c r="B191" t="s">
        <v>0</v>
      </c>
      <c r="C191" s="21">
        <v>38001001004</v>
      </c>
      <c r="D191" t="s">
        <v>62</v>
      </c>
      <c r="E191" s="39" t="s">
        <v>555</v>
      </c>
      <c r="F191" s="21">
        <v>1159</v>
      </c>
      <c r="G191" t="s">
        <v>14</v>
      </c>
      <c r="H191" s="21">
        <v>47</v>
      </c>
      <c r="I191" s="21">
        <v>1150</v>
      </c>
      <c r="J191" t="s">
        <v>15</v>
      </c>
      <c r="K191" s="41">
        <v>2515.48</v>
      </c>
    </row>
    <row r="192" spans="1:11" x14ac:dyDescent="0.2">
      <c r="A192" s="43">
        <v>46023</v>
      </c>
      <c r="B192" t="s">
        <v>0</v>
      </c>
      <c r="C192" s="21">
        <v>38001001004</v>
      </c>
      <c r="D192" t="s">
        <v>62</v>
      </c>
      <c r="E192" s="39" t="s">
        <v>556</v>
      </c>
      <c r="F192" s="21">
        <v>1159</v>
      </c>
      <c r="G192" t="s">
        <v>14</v>
      </c>
      <c r="H192" s="21">
        <v>47</v>
      </c>
      <c r="I192" s="21">
        <v>1150</v>
      </c>
      <c r="J192" t="s">
        <v>15</v>
      </c>
      <c r="K192" s="41">
        <v>6878.08</v>
      </c>
    </row>
    <row r="193" spans="1:11" x14ac:dyDescent="0.2">
      <c r="A193" s="43">
        <v>46023</v>
      </c>
      <c r="B193" t="s">
        <v>0</v>
      </c>
      <c r="C193" s="21">
        <v>38001001004</v>
      </c>
      <c r="D193" t="s">
        <v>62</v>
      </c>
      <c r="E193" s="39" t="s">
        <v>555</v>
      </c>
      <c r="F193" s="21">
        <v>1159</v>
      </c>
      <c r="G193" t="s">
        <v>14</v>
      </c>
      <c r="H193" s="21">
        <v>47</v>
      </c>
      <c r="I193" s="21">
        <v>1160</v>
      </c>
      <c r="J193" t="s">
        <v>13</v>
      </c>
      <c r="K193" s="41">
        <v>1570.69</v>
      </c>
    </row>
    <row r="194" spans="1:11" x14ac:dyDescent="0.2">
      <c r="A194" s="43">
        <v>46023</v>
      </c>
      <c r="B194" t="s">
        <v>46</v>
      </c>
      <c r="C194" s="21">
        <v>38001002001</v>
      </c>
      <c r="D194" t="s">
        <v>48</v>
      </c>
      <c r="E194" s="39" t="s">
        <v>558</v>
      </c>
      <c r="F194" s="21">
        <v>1159</v>
      </c>
      <c r="G194" t="s">
        <v>14</v>
      </c>
      <c r="H194" s="21">
        <v>47</v>
      </c>
      <c r="I194" s="21">
        <v>1160</v>
      </c>
      <c r="J194" t="s">
        <v>13</v>
      </c>
      <c r="K194" s="41">
        <v>55.78</v>
      </c>
    </row>
    <row r="195" spans="1:11" x14ac:dyDescent="0.2">
      <c r="A195" s="43">
        <v>46023</v>
      </c>
      <c r="B195" t="s">
        <v>125</v>
      </c>
      <c r="C195" s="21">
        <v>38001027004</v>
      </c>
      <c r="D195" t="s">
        <v>193</v>
      </c>
      <c r="E195" s="39" t="s">
        <v>559</v>
      </c>
      <c r="F195" s="21">
        <v>1159</v>
      </c>
      <c r="G195" t="s">
        <v>14</v>
      </c>
      <c r="H195" s="21">
        <v>47</v>
      </c>
      <c r="I195" s="21">
        <v>1150</v>
      </c>
      <c r="J195" t="s">
        <v>15</v>
      </c>
      <c r="K195" s="41">
        <v>461.76</v>
      </c>
    </row>
    <row r="196" spans="1:11" x14ac:dyDescent="0.2">
      <c r="A196" s="43">
        <v>46023</v>
      </c>
      <c r="B196" t="s">
        <v>125</v>
      </c>
      <c r="C196" s="21">
        <v>38001027004</v>
      </c>
      <c r="D196" t="s">
        <v>193</v>
      </c>
      <c r="E196" s="39" t="s">
        <v>559</v>
      </c>
      <c r="F196" s="21">
        <v>1159</v>
      </c>
      <c r="G196" t="s">
        <v>14</v>
      </c>
      <c r="H196" s="21">
        <v>47</v>
      </c>
      <c r="I196" s="21">
        <v>1159</v>
      </c>
      <c r="J196" t="s">
        <v>14</v>
      </c>
      <c r="K196" s="41">
        <v>173.16</v>
      </c>
    </row>
    <row r="197" spans="1:11" x14ac:dyDescent="0.2">
      <c r="A197" s="43">
        <v>46023</v>
      </c>
      <c r="B197" t="s">
        <v>125</v>
      </c>
      <c r="C197" s="21">
        <v>38001027004</v>
      </c>
      <c r="D197" t="s">
        <v>193</v>
      </c>
      <c r="E197" s="39" t="s">
        <v>559</v>
      </c>
      <c r="F197" s="21">
        <v>1159</v>
      </c>
      <c r="G197" t="s">
        <v>14</v>
      </c>
      <c r="H197" s="21">
        <v>47</v>
      </c>
      <c r="I197" s="21">
        <v>1160</v>
      </c>
      <c r="J197" t="s">
        <v>13</v>
      </c>
      <c r="K197" s="41">
        <v>259.74</v>
      </c>
    </row>
    <row r="198" spans="1:11" x14ac:dyDescent="0.2">
      <c r="A198" s="43">
        <v>46023</v>
      </c>
      <c r="B198" t="s">
        <v>66</v>
      </c>
      <c r="C198" s="21">
        <v>38001011004</v>
      </c>
      <c r="D198" t="s">
        <v>65</v>
      </c>
      <c r="E198" s="39" t="s">
        <v>560</v>
      </c>
      <c r="F198" s="21">
        <v>1159</v>
      </c>
      <c r="G198" t="s">
        <v>14</v>
      </c>
      <c r="H198" s="21">
        <v>47</v>
      </c>
      <c r="I198" s="21">
        <v>1150</v>
      </c>
      <c r="J198" t="s">
        <v>15</v>
      </c>
      <c r="K198" s="41">
        <v>200</v>
      </c>
    </row>
    <row r="199" spans="1:11" x14ac:dyDescent="0.2">
      <c r="A199" s="43">
        <v>46023</v>
      </c>
      <c r="B199" t="s">
        <v>66</v>
      </c>
      <c r="C199" s="21">
        <v>38001011004</v>
      </c>
      <c r="D199" t="s">
        <v>65</v>
      </c>
      <c r="E199" s="39" t="s">
        <v>561</v>
      </c>
      <c r="F199" s="21">
        <v>1159</v>
      </c>
      <c r="G199" t="s">
        <v>14</v>
      </c>
      <c r="H199" s="21">
        <v>47</v>
      </c>
      <c r="I199" s="21">
        <v>1150</v>
      </c>
      <c r="J199" t="s">
        <v>15</v>
      </c>
      <c r="K199" s="41">
        <v>176.7</v>
      </c>
    </row>
    <row r="200" spans="1:11" x14ac:dyDescent="0.2">
      <c r="A200" s="43">
        <v>46023</v>
      </c>
      <c r="B200" t="s">
        <v>41</v>
      </c>
      <c r="C200" s="21">
        <v>38001019001</v>
      </c>
      <c r="D200" t="s">
        <v>55</v>
      </c>
      <c r="E200" s="39" t="s">
        <v>557</v>
      </c>
      <c r="F200" s="21">
        <v>1159</v>
      </c>
      <c r="G200" t="s">
        <v>14</v>
      </c>
      <c r="H200" s="21">
        <v>47</v>
      </c>
      <c r="I200" s="21">
        <v>1159</v>
      </c>
      <c r="J200" t="s">
        <v>14</v>
      </c>
      <c r="K200" s="41">
        <v>2091.4299999999998</v>
      </c>
    </row>
    <row r="201" spans="1:11" x14ac:dyDescent="0.2">
      <c r="A201" s="43">
        <v>46023</v>
      </c>
      <c r="B201" t="s">
        <v>41</v>
      </c>
      <c r="C201" s="21">
        <v>38001019002</v>
      </c>
      <c r="D201" t="s">
        <v>138</v>
      </c>
      <c r="E201" s="39" t="s">
        <v>557</v>
      </c>
      <c r="F201" s="21">
        <v>1159</v>
      </c>
      <c r="G201" t="s">
        <v>14</v>
      </c>
      <c r="H201" s="21">
        <v>47</v>
      </c>
      <c r="I201" s="21">
        <v>1159</v>
      </c>
      <c r="J201" t="s">
        <v>14</v>
      </c>
      <c r="K201" s="41">
        <v>13282.22</v>
      </c>
    </row>
    <row r="202" spans="1:11" x14ac:dyDescent="0.2">
      <c r="A202" s="43">
        <v>46023</v>
      </c>
      <c r="B202" t="s">
        <v>41</v>
      </c>
      <c r="C202" s="21">
        <v>38001019003</v>
      </c>
      <c r="D202" t="s">
        <v>53</v>
      </c>
      <c r="E202" s="39" t="s">
        <v>557</v>
      </c>
      <c r="F202" s="21">
        <v>1159</v>
      </c>
      <c r="G202" t="s">
        <v>14</v>
      </c>
      <c r="H202" s="21">
        <v>47</v>
      </c>
      <c r="I202" s="21">
        <v>1159</v>
      </c>
      <c r="J202" t="s">
        <v>14</v>
      </c>
      <c r="K202" s="41">
        <v>408.39</v>
      </c>
    </row>
    <row r="203" spans="1:11" x14ac:dyDescent="0.2">
      <c r="A203" s="43">
        <v>46023</v>
      </c>
      <c r="B203" t="s">
        <v>35</v>
      </c>
      <c r="C203" s="21">
        <v>38001013002</v>
      </c>
      <c r="D203" t="s">
        <v>34</v>
      </c>
      <c r="E203" s="39" t="s">
        <v>482</v>
      </c>
      <c r="F203" s="21">
        <v>1159</v>
      </c>
      <c r="G203" t="s">
        <v>14</v>
      </c>
      <c r="H203" s="21">
        <v>47</v>
      </c>
      <c r="I203" s="21">
        <v>1150</v>
      </c>
      <c r="J203" t="s">
        <v>15</v>
      </c>
      <c r="K203" s="41">
        <v>1650</v>
      </c>
    </row>
    <row r="204" spans="1:11" x14ac:dyDescent="0.2">
      <c r="A204" s="43">
        <v>46023</v>
      </c>
      <c r="B204" t="s">
        <v>35</v>
      </c>
      <c r="C204" s="21">
        <v>38001013002</v>
      </c>
      <c r="D204" t="s">
        <v>34</v>
      </c>
      <c r="E204" s="39" t="s">
        <v>482</v>
      </c>
      <c r="F204" s="21">
        <v>1159</v>
      </c>
      <c r="G204" t="s">
        <v>14</v>
      </c>
      <c r="H204" s="21">
        <v>47</v>
      </c>
      <c r="I204" s="21">
        <v>1160</v>
      </c>
      <c r="J204" t="s">
        <v>13</v>
      </c>
      <c r="K204" s="41">
        <v>1650</v>
      </c>
    </row>
    <row r="205" spans="1:11" x14ac:dyDescent="0.2">
      <c r="A205" s="43">
        <v>46023</v>
      </c>
      <c r="B205" t="s">
        <v>125</v>
      </c>
      <c r="C205" s="21">
        <v>38001027003</v>
      </c>
      <c r="D205" t="s">
        <v>186</v>
      </c>
      <c r="E205" s="39" t="s">
        <v>529</v>
      </c>
      <c r="F205" s="21">
        <v>1159</v>
      </c>
      <c r="G205" t="s">
        <v>14</v>
      </c>
      <c r="H205" s="21">
        <v>47</v>
      </c>
      <c r="I205" s="21">
        <v>1150</v>
      </c>
      <c r="J205" t="s">
        <v>15</v>
      </c>
      <c r="K205" s="41">
        <v>9596.08</v>
      </c>
    </row>
    <row r="206" spans="1:11" x14ac:dyDescent="0.2">
      <c r="A206" s="43">
        <v>46023</v>
      </c>
      <c r="B206" t="s">
        <v>57</v>
      </c>
      <c r="C206" s="21">
        <v>38001018003</v>
      </c>
      <c r="D206" t="s">
        <v>61</v>
      </c>
      <c r="E206" s="39" t="s">
        <v>562</v>
      </c>
      <c r="F206" s="21">
        <v>1159</v>
      </c>
      <c r="G206" t="s">
        <v>14</v>
      </c>
      <c r="H206" s="21">
        <v>47</v>
      </c>
      <c r="I206" s="21">
        <v>1159</v>
      </c>
      <c r="J206" t="s">
        <v>14</v>
      </c>
      <c r="K206" s="41">
        <v>224</v>
      </c>
    </row>
    <row r="207" spans="1:11" x14ac:dyDescent="0.2">
      <c r="A207" s="43">
        <v>46023</v>
      </c>
      <c r="B207" t="s">
        <v>125</v>
      </c>
      <c r="C207" s="21">
        <v>38001027003</v>
      </c>
      <c r="D207" t="s">
        <v>186</v>
      </c>
      <c r="E207" s="39" t="s">
        <v>529</v>
      </c>
      <c r="F207" s="21">
        <v>1159</v>
      </c>
      <c r="G207" t="s">
        <v>14</v>
      </c>
      <c r="H207" s="21">
        <v>47</v>
      </c>
      <c r="I207" s="21">
        <v>1159</v>
      </c>
      <c r="J207" t="s">
        <v>14</v>
      </c>
      <c r="K207" s="41">
        <v>4028.94</v>
      </c>
    </row>
    <row r="208" spans="1:11" x14ac:dyDescent="0.2">
      <c r="A208" s="43">
        <v>46023</v>
      </c>
      <c r="B208" t="s">
        <v>125</v>
      </c>
      <c r="C208" s="21">
        <v>38001027003</v>
      </c>
      <c r="D208" t="s">
        <v>186</v>
      </c>
      <c r="E208" s="39" t="s">
        <v>529</v>
      </c>
      <c r="F208" s="21">
        <v>1159</v>
      </c>
      <c r="G208" t="s">
        <v>14</v>
      </c>
      <c r="H208" s="21">
        <v>47</v>
      </c>
      <c r="I208" s="21">
        <v>1160</v>
      </c>
      <c r="J208" t="s">
        <v>13</v>
      </c>
      <c r="K208" s="41">
        <v>6328.04</v>
      </c>
    </row>
    <row r="209" spans="1:11" x14ac:dyDescent="0.2">
      <c r="A209" s="43">
        <v>46023</v>
      </c>
      <c r="B209" t="s">
        <v>66</v>
      </c>
      <c r="C209" s="21">
        <v>38001011004</v>
      </c>
      <c r="D209" t="s">
        <v>65</v>
      </c>
      <c r="E209" s="39" t="s">
        <v>563</v>
      </c>
      <c r="F209" s="21">
        <v>1159</v>
      </c>
      <c r="G209" t="s">
        <v>14</v>
      </c>
      <c r="H209" s="21">
        <v>47</v>
      </c>
      <c r="I209" s="21">
        <v>1150</v>
      </c>
      <c r="J209" t="s">
        <v>15</v>
      </c>
      <c r="K209" s="41">
        <v>6500</v>
      </c>
    </row>
    <row r="210" spans="1:11" x14ac:dyDescent="0.2">
      <c r="A210" s="43">
        <v>46023</v>
      </c>
      <c r="B210" t="s">
        <v>66</v>
      </c>
      <c r="C210" s="21">
        <v>38001011004</v>
      </c>
      <c r="D210" t="s">
        <v>65</v>
      </c>
      <c r="E210" s="39" t="s">
        <v>564</v>
      </c>
      <c r="F210" s="21">
        <v>1159</v>
      </c>
      <c r="G210" t="s">
        <v>14</v>
      </c>
      <c r="H210" s="56">
        <v>47</v>
      </c>
      <c r="I210" s="56">
        <v>1150</v>
      </c>
      <c r="J210" t="s">
        <v>15</v>
      </c>
      <c r="K210" s="41">
        <v>12.32</v>
      </c>
    </row>
    <row r="211" spans="1:11" x14ac:dyDescent="0.2">
      <c r="A211" s="43">
        <v>46023</v>
      </c>
      <c r="B211" t="s">
        <v>72</v>
      </c>
      <c r="C211" s="21">
        <v>38001022001</v>
      </c>
      <c r="D211" t="s">
        <v>74</v>
      </c>
      <c r="E211" s="39" t="s">
        <v>332</v>
      </c>
      <c r="F211" s="21">
        <v>1000</v>
      </c>
      <c r="G211" t="s">
        <v>70</v>
      </c>
      <c r="H211" s="56">
        <v>51</v>
      </c>
      <c r="I211" s="56">
        <v>1003</v>
      </c>
      <c r="J211" t="s">
        <v>72</v>
      </c>
      <c r="K211">
        <v>26300.71</v>
      </c>
    </row>
    <row r="212" spans="1:11" x14ac:dyDescent="0.2">
      <c r="A212" s="43">
        <v>46054</v>
      </c>
      <c r="B212" t="s">
        <v>35</v>
      </c>
      <c r="C212" s="21">
        <v>38001013001</v>
      </c>
      <c r="D212" t="s">
        <v>35</v>
      </c>
      <c r="E212" s="39" t="s">
        <v>565</v>
      </c>
      <c r="F212" s="21">
        <v>1159</v>
      </c>
      <c r="G212" t="s">
        <v>14</v>
      </c>
      <c r="H212" s="21">
        <v>47</v>
      </c>
      <c r="I212" s="21">
        <v>1150</v>
      </c>
      <c r="J212" t="s">
        <v>15</v>
      </c>
      <c r="K212" s="41">
        <v>0.67</v>
      </c>
    </row>
    <row r="213" spans="1:11" x14ac:dyDescent="0.2">
      <c r="A213" s="43">
        <v>46054</v>
      </c>
      <c r="B213" t="s">
        <v>35</v>
      </c>
      <c r="C213" s="21">
        <v>38001013001</v>
      </c>
      <c r="D213" t="s">
        <v>35</v>
      </c>
      <c r="E213" s="39" t="s">
        <v>566</v>
      </c>
      <c r="F213" s="21">
        <v>1159</v>
      </c>
      <c r="G213" t="s">
        <v>14</v>
      </c>
      <c r="H213" s="21">
        <v>47</v>
      </c>
      <c r="I213" s="21">
        <v>1150</v>
      </c>
      <c r="J213" t="s">
        <v>15</v>
      </c>
      <c r="K213" s="41">
        <v>63437.61</v>
      </c>
    </row>
    <row r="214" spans="1:11" x14ac:dyDescent="0.2">
      <c r="A214" s="43">
        <v>46054</v>
      </c>
      <c r="B214" t="s">
        <v>125</v>
      </c>
      <c r="C214" s="21">
        <v>38001027007</v>
      </c>
      <c r="D214" t="s">
        <v>126</v>
      </c>
      <c r="E214" s="39" t="s">
        <v>567</v>
      </c>
      <c r="F214" s="21">
        <v>1159</v>
      </c>
      <c r="G214" t="s">
        <v>14</v>
      </c>
      <c r="H214" s="21">
        <v>47</v>
      </c>
      <c r="I214" s="21">
        <v>1150</v>
      </c>
      <c r="J214" t="s">
        <v>15</v>
      </c>
      <c r="K214" s="41">
        <v>-165.39</v>
      </c>
    </row>
    <row r="215" spans="1:11" x14ac:dyDescent="0.2">
      <c r="A215" s="43">
        <v>46054</v>
      </c>
      <c r="B215" t="s">
        <v>38</v>
      </c>
      <c r="C215" s="21">
        <v>38001023004</v>
      </c>
      <c r="D215" t="s">
        <v>36</v>
      </c>
      <c r="E215" s="39" t="s">
        <v>568</v>
      </c>
      <c r="F215" s="21">
        <v>1159</v>
      </c>
      <c r="G215" t="s">
        <v>14</v>
      </c>
      <c r="H215" s="21">
        <v>47</v>
      </c>
      <c r="I215" s="21">
        <v>1150</v>
      </c>
      <c r="J215" t="s">
        <v>15</v>
      </c>
      <c r="K215" s="41">
        <v>422.26</v>
      </c>
    </row>
    <row r="216" spans="1:11" x14ac:dyDescent="0.2">
      <c r="A216" s="43">
        <v>46054</v>
      </c>
      <c r="B216" t="s">
        <v>38</v>
      </c>
      <c r="C216" s="21">
        <v>38001023004</v>
      </c>
      <c r="D216" t="s">
        <v>36</v>
      </c>
      <c r="E216" s="39" t="s">
        <v>569</v>
      </c>
      <c r="F216" s="21">
        <v>1159</v>
      </c>
      <c r="G216" t="s">
        <v>14</v>
      </c>
      <c r="H216" s="21">
        <v>47</v>
      </c>
      <c r="I216" s="21">
        <v>1159</v>
      </c>
      <c r="J216" t="s">
        <v>14</v>
      </c>
      <c r="K216" s="41">
        <v>530.41999999999996</v>
      </c>
    </row>
    <row r="217" spans="1:11" x14ac:dyDescent="0.2">
      <c r="A217" s="43">
        <v>46054</v>
      </c>
      <c r="B217" t="s">
        <v>35</v>
      </c>
      <c r="C217" s="21">
        <v>38001013001</v>
      </c>
      <c r="D217" t="s">
        <v>35</v>
      </c>
      <c r="E217" s="39" t="s">
        <v>570</v>
      </c>
      <c r="F217" s="21">
        <v>1159</v>
      </c>
      <c r="G217" t="s">
        <v>14</v>
      </c>
      <c r="H217" s="21">
        <v>47</v>
      </c>
      <c r="I217" s="21">
        <v>1150</v>
      </c>
      <c r="J217" t="s">
        <v>15</v>
      </c>
      <c r="K217" s="41">
        <v>-0.67</v>
      </c>
    </row>
    <row r="218" spans="1:11" x14ac:dyDescent="0.2">
      <c r="A218" s="43">
        <v>46054</v>
      </c>
      <c r="B218" t="s">
        <v>35</v>
      </c>
      <c r="C218" s="21">
        <v>38001013001</v>
      </c>
      <c r="D218" t="s">
        <v>35</v>
      </c>
      <c r="E218" s="39" t="s">
        <v>571</v>
      </c>
      <c r="F218" s="21">
        <v>1159</v>
      </c>
      <c r="G218" t="s">
        <v>14</v>
      </c>
      <c r="H218" s="21">
        <v>47</v>
      </c>
      <c r="I218" s="21">
        <v>1159</v>
      </c>
      <c r="J218" t="s">
        <v>14</v>
      </c>
      <c r="K218" s="41">
        <v>51729.69</v>
      </c>
    </row>
    <row r="219" spans="1:11" x14ac:dyDescent="0.2">
      <c r="A219" s="43">
        <v>46054</v>
      </c>
      <c r="B219" t="s">
        <v>35</v>
      </c>
      <c r="C219" s="21">
        <v>38001013001</v>
      </c>
      <c r="D219" t="s">
        <v>35</v>
      </c>
      <c r="E219" s="39" t="s">
        <v>572</v>
      </c>
      <c r="F219" s="21">
        <v>1159</v>
      </c>
      <c r="G219" t="s">
        <v>14</v>
      </c>
      <c r="H219" s="21">
        <v>47</v>
      </c>
      <c r="I219" s="21">
        <v>1160</v>
      </c>
      <c r="J219" t="s">
        <v>13</v>
      </c>
      <c r="K219" s="41">
        <v>60546.94</v>
      </c>
    </row>
    <row r="220" spans="1:11" x14ac:dyDescent="0.2">
      <c r="A220" s="43">
        <v>46054</v>
      </c>
      <c r="B220" t="s">
        <v>38</v>
      </c>
      <c r="C220" s="21">
        <v>38001023004</v>
      </c>
      <c r="D220" t="s">
        <v>36</v>
      </c>
      <c r="E220" s="39" t="s">
        <v>573</v>
      </c>
      <c r="F220" s="21">
        <v>1159</v>
      </c>
      <c r="G220" t="s">
        <v>14</v>
      </c>
      <c r="H220" s="21">
        <v>47</v>
      </c>
      <c r="I220" s="21">
        <v>1160</v>
      </c>
      <c r="J220" t="s">
        <v>13</v>
      </c>
      <c r="K220" s="41">
        <v>538.19000000000005</v>
      </c>
    </row>
    <row r="221" spans="1:11" x14ac:dyDescent="0.2">
      <c r="A221" s="43">
        <v>46054</v>
      </c>
      <c r="B221" t="s">
        <v>35</v>
      </c>
      <c r="C221" s="21">
        <v>38001013002</v>
      </c>
      <c r="D221" t="s">
        <v>34</v>
      </c>
      <c r="E221" s="39" t="s">
        <v>574</v>
      </c>
      <c r="F221" s="21">
        <v>1159</v>
      </c>
      <c r="G221" t="s">
        <v>14</v>
      </c>
      <c r="H221" s="21">
        <v>47</v>
      </c>
      <c r="I221" s="21">
        <v>1150</v>
      </c>
      <c r="J221" t="s">
        <v>15</v>
      </c>
      <c r="K221" s="41">
        <v>47.69</v>
      </c>
    </row>
    <row r="222" spans="1:11" x14ac:dyDescent="0.2">
      <c r="A222" s="43">
        <v>46054</v>
      </c>
      <c r="B222" t="s">
        <v>125</v>
      </c>
      <c r="C222" s="21">
        <v>38001027008</v>
      </c>
      <c r="D222" t="s">
        <v>12</v>
      </c>
      <c r="E222" s="39" t="s">
        <v>575</v>
      </c>
      <c r="F222" s="21">
        <v>1159</v>
      </c>
      <c r="G222" t="s">
        <v>14</v>
      </c>
      <c r="H222" s="21">
        <v>47</v>
      </c>
      <c r="I222" s="21">
        <v>1150</v>
      </c>
      <c r="J222" t="s">
        <v>15</v>
      </c>
      <c r="K222" s="41">
        <v>-640</v>
      </c>
    </row>
    <row r="223" spans="1:11" x14ac:dyDescent="0.2">
      <c r="A223" s="43">
        <v>46054</v>
      </c>
      <c r="B223" t="s">
        <v>35</v>
      </c>
      <c r="C223" s="21">
        <v>38001013002</v>
      </c>
      <c r="D223" t="s">
        <v>34</v>
      </c>
      <c r="E223" s="39" t="s">
        <v>576</v>
      </c>
      <c r="F223" s="21">
        <v>1159</v>
      </c>
      <c r="G223" t="s">
        <v>14</v>
      </c>
      <c r="H223" s="21">
        <v>47</v>
      </c>
      <c r="I223" s="21">
        <v>1150</v>
      </c>
      <c r="J223" t="s">
        <v>15</v>
      </c>
      <c r="K223" s="41">
        <v>100.53</v>
      </c>
    </row>
    <row r="224" spans="1:11" x14ac:dyDescent="0.2">
      <c r="A224" s="43">
        <v>46054</v>
      </c>
      <c r="B224" t="s">
        <v>35</v>
      </c>
      <c r="C224" s="21">
        <v>38001013002</v>
      </c>
      <c r="D224" t="s">
        <v>34</v>
      </c>
      <c r="E224" s="39" t="s">
        <v>577</v>
      </c>
      <c r="F224" s="21">
        <v>1159</v>
      </c>
      <c r="G224" t="s">
        <v>14</v>
      </c>
      <c r="H224" s="21">
        <v>47</v>
      </c>
      <c r="I224" s="21">
        <v>1150</v>
      </c>
      <c r="J224" t="s">
        <v>15</v>
      </c>
      <c r="K224" s="41">
        <v>1768.16</v>
      </c>
    </row>
    <row r="225" spans="1:11" x14ac:dyDescent="0.2">
      <c r="A225" s="43">
        <v>46054</v>
      </c>
      <c r="B225" t="s">
        <v>35</v>
      </c>
      <c r="C225" s="21">
        <v>38001013002</v>
      </c>
      <c r="D225" t="s">
        <v>34</v>
      </c>
      <c r="E225" s="39" t="s">
        <v>578</v>
      </c>
      <c r="F225" s="21">
        <v>1159</v>
      </c>
      <c r="G225" t="s">
        <v>14</v>
      </c>
      <c r="H225" s="21">
        <v>47</v>
      </c>
      <c r="I225" s="21">
        <v>1150</v>
      </c>
      <c r="J225" t="s">
        <v>15</v>
      </c>
      <c r="K225" s="41">
        <v>3727.06</v>
      </c>
    </row>
    <row r="226" spans="1:11" x14ac:dyDescent="0.2">
      <c r="A226" s="43">
        <v>46054</v>
      </c>
      <c r="B226" t="s">
        <v>35</v>
      </c>
      <c r="C226" s="21">
        <v>38001013002</v>
      </c>
      <c r="D226" t="s">
        <v>34</v>
      </c>
      <c r="E226" s="39" t="s">
        <v>579</v>
      </c>
      <c r="F226" s="21">
        <v>1159</v>
      </c>
      <c r="G226" t="s">
        <v>14</v>
      </c>
      <c r="H226" s="21">
        <v>47</v>
      </c>
      <c r="I226" s="21">
        <v>1159</v>
      </c>
      <c r="J226" t="s">
        <v>14</v>
      </c>
      <c r="K226" s="41">
        <v>1714.72</v>
      </c>
    </row>
    <row r="227" spans="1:11" x14ac:dyDescent="0.2">
      <c r="A227" s="43">
        <v>46054</v>
      </c>
      <c r="B227" t="s">
        <v>35</v>
      </c>
      <c r="C227" s="21">
        <v>38001013002</v>
      </c>
      <c r="D227" t="s">
        <v>34</v>
      </c>
      <c r="E227" s="39" t="s">
        <v>580</v>
      </c>
      <c r="F227" s="21">
        <v>1159</v>
      </c>
      <c r="G227" t="s">
        <v>14</v>
      </c>
      <c r="H227" s="21">
        <v>47</v>
      </c>
      <c r="I227" s="21">
        <v>1159</v>
      </c>
      <c r="J227" t="s">
        <v>14</v>
      </c>
      <c r="K227" s="41">
        <v>3614.41</v>
      </c>
    </row>
    <row r="228" spans="1:11" x14ac:dyDescent="0.2">
      <c r="A228" s="43">
        <v>46054</v>
      </c>
      <c r="B228" t="s">
        <v>35</v>
      </c>
      <c r="C228" s="21">
        <v>38001013002</v>
      </c>
      <c r="D228" t="s">
        <v>34</v>
      </c>
      <c r="E228" s="39" t="s">
        <v>581</v>
      </c>
      <c r="F228" s="21">
        <v>1159</v>
      </c>
      <c r="G228" t="s">
        <v>14</v>
      </c>
      <c r="H228" s="21">
        <v>47</v>
      </c>
      <c r="I228" s="21">
        <v>1160</v>
      </c>
      <c r="J228" t="s">
        <v>13</v>
      </c>
      <c r="K228" s="41">
        <v>1666</v>
      </c>
    </row>
    <row r="229" spans="1:11" x14ac:dyDescent="0.2">
      <c r="A229" s="43">
        <v>46054</v>
      </c>
      <c r="B229" t="s">
        <v>35</v>
      </c>
      <c r="C229" s="21">
        <v>38001013002</v>
      </c>
      <c r="D229" t="s">
        <v>34</v>
      </c>
      <c r="E229" s="39" t="s">
        <v>582</v>
      </c>
      <c r="F229" s="21">
        <v>1159</v>
      </c>
      <c r="G229" t="s">
        <v>14</v>
      </c>
      <c r="H229" s="21">
        <v>47</v>
      </c>
      <c r="I229" s="21">
        <v>1160</v>
      </c>
      <c r="J229" t="s">
        <v>13</v>
      </c>
      <c r="K229" s="41">
        <v>3511.71</v>
      </c>
    </row>
    <row r="230" spans="1:11" x14ac:dyDescent="0.2">
      <c r="A230" s="43">
        <v>46054</v>
      </c>
      <c r="B230" t="s">
        <v>35</v>
      </c>
      <c r="C230" s="21">
        <v>38001013001</v>
      </c>
      <c r="D230" t="s">
        <v>35</v>
      </c>
      <c r="E230" s="39" t="s">
        <v>583</v>
      </c>
      <c r="F230" s="21">
        <v>1159</v>
      </c>
      <c r="G230" t="s">
        <v>14</v>
      </c>
      <c r="H230" s="21">
        <v>47</v>
      </c>
      <c r="I230" s="21">
        <v>1150</v>
      </c>
      <c r="J230" t="s">
        <v>15</v>
      </c>
      <c r="K230" s="41">
        <v>-647.4</v>
      </c>
    </row>
    <row r="231" spans="1:11" x14ac:dyDescent="0.2">
      <c r="A231" s="43">
        <v>46054</v>
      </c>
      <c r="B231" t="s">
        <v>35</v>
      </c>
      <c r="C231" s="21">
        <v>38001013001</v>
      </c>
      <c r="D231" t="s">
        <v>35</v>
      </c>
      <c r="E231" s="39" t="s">
        <v>584</v>
      </c>
      <c r="F231" s="21">
        <v>1159</v>
      </c>
      <c r="G231" t="s">
        <v>14</v>
      </c>
      <c r="H231" s="21">
        <v>47</v>
      </c>
      <c r="I231" s="21">
        <v>1150</v>
      </c>
      <c r="J231" t="s">
        <v>15</v>
      </c>
      <c r="K231" s="41">
        <v>-870.96</v>
      </c>
    </row>
    <row r="232" spans="1:11" x14ac:dyDescent="0.2">
      <c r="A232" s="43">
        <v>46054</v>
      </c>
      <c r="B232" t="s">
        <v>35</v>
      </c>
      <c r="C232" s="21">
        <v>38001013001</v>
      </c>
      <c r="D232" t="s">
        <v>35</v>
      </c>
      <c r="E232" s="39" t="s">
        <v>585</v>
      </c>
      <c r="F232" s="21">
        <v>1159</v>
      </c>
      <c r="G232" t="s">
        <v>14</v>
      </c>
      <c r="H232" s="21">
        <v>47</v>
      </c>
      <c r="I232" s="21">
        <v>1159</v>
      </c>
      <c r="J232" t="s">
        <v>14</v>
      </c>
      <c r="K232" s="41">
        <v>-647.4</v>
      </c>
    </row>
    <row r="233" spans="1:11" x14ac:dyDescent="0.2">
      <c r="A233" s="43">
        <v>46054</v>
      </c>
      <c r="B233" t="s">
        <v>35</v>
      </c>
      <c r="C233" s="21">
        <v>38001013001</v>
      </c>
      <c r="D233" t="s">
        <v>35</v>
      </c>
      <c r="E233" s="39" t="s">
        <v>586</v>
      </c>
      <c r="F233" s="21">
        <v>1159</v>
      </c>
      <c r="G233" t="s">
        <v>14</v>
      </c>
      <c r="H233" s="21">
        <v>47</v>
      </c>
      <c r="I233" s="21">
        <v>1160</v>
      </c>
      <c r="J233" t="s">
        <v>13</v>
      </c>
      <c r="K233" s="41">
        <v>-431.6</v>
      </c>
    </row>
    <row r="234" spans="1:11" x14ac:dyDescent="0.2">
      <c r="A234" s="43">
        <v>46054</v>
      </c>
      <c r="B234" t="s">
        <v>35</v>
      </c>
      <c r="C234" s="21">
        <v>38001013001</v>
      </c>
      <c r="D234" t="s">
        <v>35</v>
      </c>
      <c r="E234" s="39" t="s">
        <v>587</v>
      </c>
      <c r="F234" s="21">
        <v>1159</v>
      </c>
      <c r="G234" t="s">
        <v>14</v>
      </c>
      <c r="H234" s="21">
        <v>47</v>
      </c>
      <c r="I234" s="21">
        <v>1160</v>
      </c>
      <c r="J234" t="s">
        <v>13</v>
      </c>
      <c r="K234" s="41">
        <v>-655.16</v>
      </c>
    </row>
    <row r="235" spans="1:11" x14ac:dyDescent="0.2">
      <c r="A235" s="43">
        <v>46054</v>
      </c>
      <c r="B235" t="s">
        <v>107</v>
      </c>
      <c r="C235" s="21">
        <v>38001025002</v>
      </c>
      <c r="D235" t="s">
        <v>115</v>
      </c>
      <c r="E235" s="39" t="s">
        <v>588</v>
      </c>
      <c r="F235" s="21">
        <v>1159</v>
      </c>
      <c r="G235" t="s">
        <v>14</v>
      </c>
      <c r="H235" s="21">
        <v>47</v>
      </c>
      <c r="I235" s="21">
        <v>1150</v>
      </c>
      <c r="J235" t="s">
        <v>15</v>
      </c>
      <c r="K235" s="41">
        <v>454.59</v>
      </c>
    </row>
    <row r="236" spans="1:11" x14ac:dyDescent="0.2">
      <c r="A236" s="43">
        <v>46054</v>
      </c>
      <c r="B236" t="s">
        <v>107</v>
      </c>
      <c r="C236" s="21">
        <v>38001025002</v>
      </c>
      <c r="D236" t="s">
        <v>115</v>
      </c>
      <c r="E236" s="39" t="s">
        <v>589</v>
      </c>
      <c r="F236" s="21">
        <v>1159</v>
      </c>
      <c r="G236" t="s">
        <v>14</v>
      </c>
      <c r="H236" s="21">
        <v>47</v>
      </c>
      <c r="I236" s="21">
        <v>1159</v>
      </c>
      <c r="J236" t="s">
        <v>14</v>
      </c>
      <c r="K236" s="41">
        <v>425.24</v>
      </c>
    </row>
    <row r="237" spans="1:11" x14ac:dyDescent="0.2">
      <c r="A237" s="43">
        <v>46054</v>
      </c>
      <c r="B237" t="s">
        <v>107</v>
      </c>
      <c r="C237" s="21">
        <v>38001025002</v>
      </c>
      <c r="D237" t="s">
        <v>115</v>
      </c>
      <c r="E237" s="39" t="s">
        <v>590</v>
      </c>
      <c r="F237" s="21">
        <v>1159</v>
      </c>
      <c r="G237" t="s">
        <v>14</v>
      </c>
      <c r="H237" s="21">
        <v>47</v>
      </c>
      <c r="I237" s="21">
        <v>1160</v>
      </c>
      <c r="J237" t="s">
        <v>13</v>
      </c>
      <c r="K237" s="41">
        <v>431.49</v>
      </c>
    </row>
    <row r="238" spans="1:11" x14ac:dyDescent="0.2">
      <c r="A238" s="43">
        <v>46054</v>
      </c>
      <c r="B238" t="s">
        <v>35</v>
      </c>
      <c r="C238" s="21">
        <v>38001013001</v>
      </c>
      <c r="D238" t="s">
        <v>35</v>
      </c>
      <c r="E238" s="39" t="s">
        <v>591</v>
      </c>
      <c r="F238" s="21">
        <v>1159</v>
      </c>
      <c r="G238" t="s">
        <v>14</v>
      </c>
      <c r="H238" s="21">
        <v>47</v>
      </c>
      <c r="I238" s="21">
        <v>1150</v>
      </c>
      <c r="J238" t="s">
        <v>15</v>
      </c>
      <c r="K238" s="41">
        <v>-131.46</v>
      </c>
    </row>
    <row r="239" spans="1:11" x14ac:dyDescent="0.2">
      <c r="A239" s="43">
        <v>46054</v>
      </c>
      <c r="B239" t="s">
        <v>41</v>
      </c>
      <c r="C239" s="21">
        <v>38001019002</v>
      </c>
      <c r="D239" t="s">
        <v>138</v>
      </c>
      <c r="E239" s="39" t="s">
        <v>592</v>
      </c>
      <c r="F239" s="21">
        <v>1159</v>
      </c>
      <c r="G239" t="s">
        <v>14</v>
      </c>
      <c r="H239" s="21">
        <v>47</v>
      </c>
      <c r="I239" s="21">
        <v>1159</v>
      </c>
      <c r="J239" t="s">
        <v>14</v>
      </c>
      <c r="K239" s="41">
        <v>-935.95</v>
      </c>
    </row>
    <row r="240" spans="1:11" x14ac:dyDescent="0.2">
      <c r="A240" s="43">
        <v>46054</v>
      </c>
      <c r="B240" t="s">
        <v>38</v>
      </c>
      <c r="C240" s="21">
        <v>38001023001</v>
      </c>
      <c r="D240" t="s">
        <v>38</v>
      </c>
      <c r="E240" s="39" t="s">
        <v>593</v>
      </c>
      <c r="F240" s="21">
        <v>1159</v>
      </c>
      <c r="G240" t="s">
        <v>14</v>
      </c>
      <c r="H240" s="21">
        <v>47</v>
      </c>
      <c r="I240" s="21">
        <v>1150</v>
      </c>
      <c r="J240" t="s">
        <v>15</v>
      </c>
      <c r="K240" s="41">
        <v>5278.1</v>
      </c>
    </row>
    <row r="241" spans="1:11" x14ac:dyDescent="0.2">
      <c r="A241" s="43">
        <v>46054</v>
      </c>
      <c r="B241" t="s">
        <v>38</v>
      </c>
      <c r="C241" s="21">
        <v>38001023001</v>
      </c>
      <c r="D241" t="s">
        <v>38</v>
      </c>
      <c r="E241" s="39" t="s">
        <v>594</v>
      </c>
      <c r="F241" s="21">
        <v>1159</v>
      </c>
      <c r="G241" t="s">
        <v>14</v>
      </c>
      <c r="H241" s="21">
        <v>47</v>
      </c>
      <c r="I241" s="21">
        <v>1159</v>
      </c>
      <c r="J241" t="s">
        <v>14</v>
      </c>
      <c r="K241" s="41">
        <v>6630.06</v>
      </c>
    </row>
    <row r="242" spans="1:11" x14ac:dyDescent="0.2">
      <c r="A242" s="43">
        <v>46054</v>
      </c>
      <c r="B242" t="s">
        <v>38</v>
      </c>
      <c r="C242" s="21">
        <v>38001023001</v>
      </c>
      <c r="D242" t="s">
        <v>38</v>
      </c>
      <c r="E242" s="39" t="s">
        <v>595</v>
      </c>
      <c r="F242" s="21">
        <v>1159</v>
      </c>
      <c r="G242" t="s">
        <v>14</v>
      </c>
      <c r="H242" s="21">
        <v>47</v>
      </c>
      <c r="I242" s="21">
        <v>1160</v>
      </c>
      <c r="J242" t="s">
        <v>13</v>
      </c>
      <c r="K242" s="41">
        <v>6727.43</v>
      </c>
    </row>
    <row r="243" spans="1:11" x14ac:dyDescent="0.2">
      <c r="A243" s="43">
        <v>46054</v>
      </c>
      <c r="B243" t="s">
        <v>35</v>
      </c>
      <c r="C243" s="21">
        <v>38001013001</v>
      </c>
      <c r="D243" t="s">
        <v>35</v>
      </c>
      <c r="E243" s="39" t="s">
        <v>596</v>
      </c>
      <c r="F243" s="21">
        <v>1159</v>
      </c>
      <c r="G243" t="s">
        <v>14</v>
      </c>
      <c r="H243" s="21">
        <v>47</v>
      </c>
      <c r="I243" s="21">
        <v>1160</v>
      </c>
      <c r="J243" t="s">
        <v>13</v>
      </c>
      <c r="K243" s="41">
        <v>-24.02</v>
      </c>
    </row>
    <row r="244" spans="1:11" x14ac:dyDescent="0.2">
      <c r="A244" s="43">
        <v>46054</v>
      </c>
      <c r="B244" t="s">
        <v>35</v>
      </c>
      <c r="C244" s="21">
        <v>38001013001</v>
      </c>
      <c r="D244" t="s">
        <v>35</v>
      </c>
      <c r="E244" s="39" t="s">
        <v>597</v>
      </c>
      <c r="F244" s="21">
        <v>1159</v>
      </c>
      <c r="G244" t="s">
        <v>14</v>
      </c>
      <c r="H244" s="21">
        <v>47</v>
      </c>
      <c r="I244" s="21">
        <v>1159</v>
      </c>
      <c r="J244" t="s">
        <v>14</v>
      </c>
      <c r="K244" s="41">
        <v>-46.3</v>
      </c>
    </row>
    <row r="245" spans="1:11" x14ac:dyDescent="0.2">
      <c r="A245" s="43">
        <v>46054</v>
      </c>
      <c r="B245" t="s">
        <v>107</v>
      </c>
      <c r="C245" s="21">
        <v>38001025001</v>
      </c>
      <c r="D245" t="s">
        <v>107</v>
      </c>
      <c r="E245" s="39" t="s">
        <v>598</v>
      </c>
      <c r="F245" s="21">
        <v>1159</v>
      </c>
      <c r="G245" t="s">
        <v>14</v>
      </c>
      <c r="H245" s="21">
        <v>47</v>
      </c>
      <c r="I245" s="21">
        <v>1150</v>
      </c>
      <c r="J245" t="s">
        <v>15</v>
      </c>
      <c r="K245" s="41">
        <v>5315.64</v>
      </c>
    </row>
    <row r="246" spans="1:11" x14ac:dyDescent="0.2">
      <c r="A246" s="43">
        <v>46054</v>
      </c>
      <c r="B246" t="s">
        <v>107</v>
      </c>
      <c r="C246" s="21">
        <v>38001025001</v>
      </c>
      <c r="D246" t="s">
        <v>107</v>
      </c>
      <c r="E246" s="39" t="s">
        <v>599</v>
      </c>
      <c r="F246" s="21">
        <v>1159</v>
      </c>
      <c r="G246" t="s">
        <v>14</v>
      </c>
      <c r="H246" s="21">
        <v>47</v>
      </c>
      <c r="I246" s="21">
        <v>1159</v>
      </c>
      <c r="J246" t="s">
        <v>14</v>
      </c>
      <c r="K246" s="41">
        <v>4972.54</v>
      </c>
    </row>
    <row r="247" spans="1:11" x14ac:dyDescent="0.2">
      <c r="A247" s="43">
        <v>46054</v>
      </c>
      <c r="B247" t="s">
        <v>38</v>
      </c>
      <c r="C247" s="21">
        <v>38001023002</v>
      </c>
      <c r="D247" t="s">
        <v>37</v>
      </c>
      <c r="E247" s="39" t="s">
        <v>600</v>
      </c>
      <c r="F247" s="21">
        <v>1159</v>
      </c>
      <c r="G247" t="s">
        <v>14</v>
      </c>
      <c r="H247" s="21">
        <v>47</v>
      </c>
      <c r="I247" s="21">
        <v>1150</v>
      </c>
      <c r="J247" t="s">
        <v>15</v>
      </c>
      <c r="K247" s="41">
        <v>451.36</v>
      </c>
    </row>
    <row r="248" spans="1:11" x14ac:dyDescent="0.2">
      <c r="A248" s="43">
        <v>46054</v>
      </c>
      <c r="B248" t="s">
        <v>38</v>
      </c>
      <c r="C248" s="21">
        <v>38001023002</v>
      </c>
      <c r="D248" t="s">
        <v>37</v>
      </c>
      <c r="E248" s="39" t="s">
        <v>601</v>
      </c>
      <c r="F248" s="21">
        <v>1159</v>
      </c>
      <c r="G248" t="s">
        <v>14</v>
      </c>
      <c r="H248" s="21">
        <v>47</v>
      </c>
      <c r="I248" s="21">
        <v>1159</v>
      </c>
      <c r="J248" t="s">
        <v>14</v>
      </c>
      <c r="K248" s="41">
        <v>566.97</v>
      </c>
    </row>
    <row r="249" spans="1:11" x14ac:dyDescent="0.2">
      <c r="A249" s="43">
        <v>46054</v>
      </c>
      <c r="B249" t="s">
        <v>38</v>
      </c>
      <c r="C249" s="21">
        <v>38001023002</v>
      </c>
      <c r="D249" t="s">
        <v>37</v>
      </c>
      <c r="E249" s="39" t="s">
        <v>602</v>
      </c>
      <c r="F249" s="21">
        <v>1159</v>
      </c>
      <c r="G249" t="s">
        <v>14</v>
      </c>
      <c r="H249" s="21">
        <v>47</v>
      </c>
      <c r="I249" s="21">
        <v>1160</v>
      </c>
      <c r="J249" t="s">
        <v>13</v>
      </c>
      <c r="K249" s="41">
        <v>575.29999999999995</v>
      </c>
    </row>
    <row r="250" spans="1:11" x14ac:dyDescent="0.2">
      <c r="A250" s="43">
        <v>46054</v>
      </c>
      <c r="B250" t="s">
        <v>107</v>
      </c>
      <c r="C250" s="21">
        <v>38001025001</v>
      </c>
      <c r="D250" t="s">
        <v>107</v>
      </c>
      <c r="E250" s="39" t="s">
        <v>603</v>
      </c>
      <c r="F250" s="21">
        <v>1159</v>
      </c>
      <c r="G250" t="s">
        <v>14</v>
      </c>
      <c r="H250" s="21">
        <v>47</v>
      </c>
      <c r="I250" s="21">
        <v>1160</v>
      </c>
      <c r="J250" t="s">
        <v>13</v>
      </c>
      <c r="K250" s="41">
        <v>5045.5600000000004</v>
      </c>
    </row>
    <row r="251" spans="1:11" x14ac:dyDescent="0.2">
      <c r="A251" s="43">
        <v>46054</v>
      </c>
      <c r="B251" t="s">
        <v>35</v>
      </c>
      <c r="C251" s="21">
        <v>38001013004</v>
      </c>
      <c r="D251" t="s">
        <v>33</v>
      </c>
      <c r="E251" s="39" t="s">
        <v>604</v>
      </c>
      <c r="F251" s="21">
        <v>1159</v>
      </c>
      <c r="G251" t="s">
        <v>14</v>
      </c>
      <c r="H251" s="21">
        <v>47</v>
      </c>
      <c r="I251" s="21">
        <v>1150</v>
      </c>
      <c r="J251" t="s">
        <v>15</v>
      </c>
      <c r="K251" s="41">
        <v>5226.0600000000004</v>
      </c>
    </row>
    <row r="252" spans="1:11" x14ac:dyDescent="0.2">
      <c r="A252" s="43">
        <v>46054</v>
      </c>
      <c r="B252" t="s">
        <v>35</v>
      </c>
      <c r="C252" s="21">
        <v>38001013004</v>
      </c>
      <c r="D252" t="s">
        <v>33</v>
      </c>
      <c r="E252" s="39" t="s">
        <v>605</v>
      </c>
      <c r="F252" s="21">
        <v>1159</v>
      </c>
      <c r="G252" t="s">
        <v>14</v>
      </c>
      <c r="H252" s="21">
        <v>47</v>
      </c>
      <c r="I252" s="21">
        <v>1159</v>
      </c>
      <c r="J252" t="s">
        <v>14</v>
      </c>
      <c r="K252" s="41">
        <v>4985.3900000000003</v>
      </c>
    </row>
    <row r="253" spans="1:11" x14ac:dyDescent="0.2">
      <c r="A253" s="43">
        <v>46054</v>
      </c>
      <c r="B253" t="s">
        <v>35</v>
      </c>
      <c r="C253" s="21">
        <v>38001013004</v>
      </c>
      <c r="D253" t="s">
        <v>33</v>
      </c>
      <c r="E253" s="39" t="s">
        <v>606</v>
      </c>
      <c r="F253" s="21">
        <v>1159</v>
      </c>
      <c r="G253" t="s">
        <v>14</v>
      </c>
      <c r="H253" s="21">
        <v>47</v>
      </c>
      <c r="I253" s="21">
        <v>1160</v>
      </c>
      <c r="J253" t="s">
        <v>13</v>
      </c>
      <c r="K253" s="41">
        <v>4843.7299999999996</v>
      </c>
    </row>
    <row r="254" spans="1:11" x14ac:dyDescent="0.2">
      <c r="A254" s="43">
        <v>46054</v>
      </c>
      <c r="B254" t="s">
        <v>35</v>
      </c>
      <c r="C254" s="21">
        <v>38001013003</v>
      </c>
      <c r="D254" t="s">
        <v>607</v>
      </c>
      <c r="E254" s="39" t="s">
        <v>494</v>
      </c>
      <c r="F254" s="21">
        <v>1159</v>
      </c>
      <c r="G254" t="s">
        <v>14</v>
      </c>
      <c r="H254" s="21">
        <v>47</v>
      </c>
      <c r="I254" s="21">
        <v>1150</v>
      </c>
      <c r="J254" t="s">
        <v>15</v>
      </c>
      <c r="K254" s="41">
        <v>6599.32</v>
      </c>
    </row>
    <row r="255" spans="1:11" x14ac:dyDescent="0.2">
      <c r="A255" s="43">
        <v>46054</v>
      </c>
      <c r="B255" t="s">
        <v>35</v>
      </c>
      <c r="C255" s="21">
        <v>38001013003</v>
      </c>
      <c r="D255" t="s">
        <v>607</v>
      </c>
      <c r="E255" s="39" t="s">
        <v>495</v>
      </c>
      <c r="F255" s="21">
        <v>1159</v>
      </c>
      <c r="G255" t="s">
        <v>14</v>
      </c>
      <c r="H255" s="21">
        <v>47</v>
      </c>
      <c r="I255" s="21">
        <v>1159</v>
      </c>
      <c r="J255" t="s">
        <v>14</v>
      </c>
      <c r="K255" s="41">
        <v>6231.75</v>
      </c>
    </row>
    <row r="256" spans="1:11" x14ac:dyDescent="0.2">
      <c r="A256" s="43">
        <v>46054</v>
      </c>
      <c r="B256" t="s">
        <v>35</v>
      </c>
      <c r="C256" s="21">
        <v>38001013003</v>
      </c>
      <c r="D256" t="s">
        <v>607</v>
      </c>
      <c r="E256" s="39" t="s">
        <v>496</v>
      </c>
      <c r="F256" s="21">
        <v>1159</v>
      </c>
      <c r="G256" t="s">
        <v>14</v>
      </c>
      <c r="H256" s="21">
        <v>47</v>
      </c>
      <c r="I256" s="21">
        <v>1160</v>
      </c>
      <c r="J256" t="s">
        <v>13</v>
      </c>
      <c r="K256" s="41">
        <v>6054.69</v>
      </c>
    </row>
    <row r="257" spans="1:11" x14ac:dyDescent="0.2">
      <c r="A257" s="43">
        <v>46054</v>
      </c>
      <c r="B257" t="s">
        <v>57</v>
      </c>
      <c r="C257" s="21">
        <v>38001018002</v>
      </c>
      <c r="D257" t="s">
        <v>59</v>
      </c>
      <c r="E257" s="39" t="s">
        <v>608</v>
      </c>
      <c r="F257" s="21">
        <v>1159</v>
      </c>
      <c r="G257" t="s">
        <v>14</v>
      </c>
      <c r="H257" s="21">
        <v>47</v>
      </c>
      <c r="I257" s="21">
        <v>1159</v>
      </c>
      <c r="J257" t="s">
        <v>14</v>
      </c>
      <c r="K257" s="41">
        <v>-11524.86</v>
      </c>
    </row>
    <row r="258" spans="1:11" x14ac:dyDescent="0.2">
      <c r="A258" s="43">
        <v>46054</v>
      </c>
      <c r="B258" t="s">
        <v>57</v>
      </c>
      <c r="C258" s="21">
        <v>38001018002</v>
      </c>
      <c r="D258" t="s">
        <v>59</v>
      </c>
      <c r="E258" s="39" t="s">
        <v>609</v>
      </c>
      <c r="F258" s="21">
        <v>1159</v>
      </c>
      <c r="G258" t="s">
        <v>14</v>
      </c>
      <c r="H258" s="21">
        <v>47</v>
      </c>
      <c r="I258" s="21">
        <v>1159</v>
      </c>
      <c r="J258" t="s">
        <v>14</v>
      </c>
      <c r="K258" s="41">
        <v>10263.61</v>
      </c>
    </row>
    <row r="259" spans="1:11" x14ac:dyDescent="0.2">
      <c r="A259" s="43">
        <v>46054</v>
      </c>
      <c r="B259" t="s">
        <v>107</v>
      </c>
      <c r="C259" s="21">
        <v>38001025004</v>
      </c>
      <c r="D259" t="s">
        <v>108</v>
      </c>
      <c r="E259" s="39" t="s">
        <v>610</v>
      </c>
      <c r="F259" s="21">
        <v>1159</v>
      </c>
      <c r="G259" t="s">
        <v>14</v>
      </c>
      <c r="H259" s="21">
        <v>47</v>
      </c>
      <c r="I259" s="21">
        <v>1150</v>
      </c>
      <c r="J259" t="s">
        <v>15</v>
      </c>
      <c r="K259" s="41">
        <v>425.24</v>
      </c>
    </row>
    <row r="260" spans="1:11" x14ac:dyDescent="0.2">
      <c r="A260" s="43">
        <v>46054</v>
      </c>
      <c r="B260" t="s">
        <v>107</v>
      </c>
      <c r="C260" s="21">
        <v>38001025004</v>
      </c>
      <c r="D260" t="s">
        <v>108</v>
      </c>
      <c r="E260" s="39" t="s">
        <v>611</v>
      </c>
      <c r="F260" s="21">
        <v>1159</v>
      </c>
      <c r="G260" t="s">
        <v>14</v>
      </c>
      <c r="H260" s="21">
        <v>47</v>
      </c>
      <c r="I260" s="21">
        <v>1159</v>
      </c>
      <c r="J260" t="s">
        <v>14</v>
      </c>
      <c r="K260" s="41">
        <v>397.81</v>
      </c>
    </row>
    <row r="261" spans="1:11" x14ac:dyDescent="0.2">
      <c r="A261" s="43">
        <v>46054</v>
      </c>
      <c r="B261" t="s">
        <v>107</v>
      </c>
      <c r="C261" s="21">
        <v>38001025004</v>
      </c>
      <c r="D261" t="s">
        <v>108</v>
      </c>
      <c r="E261" s="39" t="s">
        <v>612</v>
      </c>
      <c r="F261" s="21">
        <v>1159</v>
      </c>
      <c r="G261" t="s">
        <v>14</v>
      </c>
      <c r="H261" s="21">
        <v>47</v>
      </c>
      <c r="I261" s="21">
        <v>1160</v>
      </c>
      <c r="J261" t="s">
        <v>13</v>
      </c>
      <c r="K261" s="41">
        <v>403.66</v>
      </c>
    </row>
    <row r="262" spans="1:11" x14ac:dyDescent="0.2">
      <c r="A262" s="43">
        <v>46054</v>
      </c>
      <c r="B262" t="s">
        <v>66</v>
      </c>
      <c r="C262" s="21">
        <v>38001011004</v>
      </c>
      <c r="D262" t="s">
        <v>65</v>
      </c>
      <c r="E262" s="39" t="s">
        <v>613</v>
      </c>
      <c r="F262" s="21">
        <v>1159</v>
      </c>
      <c r="G262" t="s">
        <v>14</v>
      </c>
      <c r="H262" s="21">
        <v>47</v>
      </c>
      <c r="I262" s="21">
        <v>1150</v>
      </c>
      <c r="J262" t="s">
        <v>15</v>
      </c>
      <c r="K262" s="41">
        <v>4140</v>
      </c>
    </row>
    <row r="263" spans="1:11" x14ac:dyDescent="0.2">
      <c r="A263" s="43">
        <v>46054</v>
      </c>
      <c r="B263" t="s">
        <v>66</v>
      </c>
      <c r="C263" s="21">
        <v>38001011004</v>
      </c>
      <c r="D263" t="s">
        <v>65</v>
      </c>
      <c r="E263" s="39" t="s">
        <v>614</v>
      </c>
      <c r="F263" s="21">
        <v>1159</v>
      </c>
      <c r="G263" t="s">
        <v>14</v>
      </c>
      <c r="H263" s="21">
        <v>47</v>
      </c>
      <c r="I263" s="21">
        <v>1150</v>
      </c>
      <c r="J263" t="s">
        <v>15</v>
      </c>
      <c r="K263" s="41">
        <v>7000</v>
      </c>
    </row>
    <row r="264" spans="1:11" x14ac:dyDescent="0.2">
      <c r="A264" s="43">
        <v>46054</v>
      </c>
      <c r="B264" t="s">
        <v>66</v>
      </c>
      <c r="C264" s="21">
        <v>38001011004</v>
      </c>
      <c r="D264" t="s">
        <v>65</v>
      </c>
      <c r="E264" s="39" t="s">
        <v>616</v>
      </c>
      <c r="F264" s="21">
        <v>1159</v>
      </c>
      <c r="G264" t="s">
        <v>14</v>
      </c>
      <c r="H264" s="21">
        <v>47</v>
      </c>
      <c r="I264" s="21">
        <v>1150</v>
      </c>
      <c r="J264" t="s">
        <v>15</v>
      </c>
      <c r="K264" s="41">
        <v>273.55</v>
      </c>
    </row>
    <row r="265" spans="1:11" x14ac:dyDescent="0.2">
      <c r="A265" s="43">
        <v>46054</v>
      </c>
      <c r="B265" t="s">
        <v>66</v>
      </c>
      <c r="C265" s="21">
        <v>38001011004</v>
      </c>
      <c r="D265" t="s">
        <v>65</v>
      </c>
      <c r="E265" s="39" t="s">
        <v>617</v>
      </c>
      <c r="F265" s="21">
        <v>1159</v>
      </c>
      <c r="G265" t="s">
        <v>14</v>
      </c>
      <c r="H265" s="21">
        <v>47</v>
      </c>
      <c r="I265" s="21">
        <v>1150</v>
      </c>
      <c r="J265" t="s">
        <v>15</v>
      </c>
      <c r="K265" s="41">
        <v>273.55</v>
      </c>
    </row>
    <row r="266" spans="1:11" x14ac:dyDescent="0.2">
      <c r="A266" s="43">
        <v>46054</v>
      </c>
      <c r="B266" t="s">
        <v>66</v>
      </c>
      <c r="C266" s="21">
        <v>38001011004</v>
      </c>
      <c r="D266" t="s">
        <v>65</v>
      </c>
      <c r="E266" s="39" t="s">
        <v>618</v>
      </c>
      <c r="F266" s="21">
        <v>1159</v>
      </c>
      <c r="G266" t="s">
        <v>14</v>
      </c>
      <c r="H266" s="21">
        <v>47</v>
      </c>
      <c r="I266" s="21">
        <v>1150</v>
      </c>
      <c r="J266" t="s">
        <v>15</v>
      </c>
      <c r="K266" s="41">
        <v>273.55</v>
      </c>
    </row>
    <row r="267" spans="1:11" x14ac:dyDescent="0.2">
      <c r="A267" s="43">
        <v>46054</v>
      </c>
      <c r="B267" t="s">
        <v>66</v>
      </c>
      <c r="C267" s="21">
        <v>38001011004</v>
      </c>
      <c r="D267" t="s">
        <v>65</v>
      </c>
      <c r="E267" s="39" t="s">
        <v>619</v>
      </c>
      <c r="F267" s="21">
        <v>1159</v>
      </c>
      <c r="G267" t="s">
        <v>14</v>
      </c>
      <c r="H267" s="21">
        <v>47</v>
      </c>
      <c r="I267" s="21">
        <v>1150</v>
      </c>
      <c r="J267" t="s">
        <v>15</v>
      </c>
      <c r="K267" s="41">
        <v>273.55</v>
      </c>
    </row>
    <row r="268" spans="1:11" x14ac:dyDescent="0.2">
      <c r="A268" s="43">
        <v>46054</v>
      </c>
      <c r="B268" t="s">
        <v>66</v>
      </c>
      <c r="C268" s="21">
        <v>38001011004</v>
      </c>
      <c r="D268" t="s">
        <v>65</v>
      </c>
      <c r="E268" s="39" t="s">
        <v>620</v>
      </c>
      <c r="F268" s="21">
        <v>1159</v>
      </c>
      <c r="G268" t="s">
        <v>14</v>
      </c>
      <c r="H268" s="21">
        <v>47</v>
      </c>
      <c r="I268" s="21">
        <v>1150</v>
      </c>
      <c r="J268" t="s">
        <v>15</v>
      </c>
      <c r="K268" s="41">
        <v>273.55</v>
      </c>
    </row>
    <row r="269" spans="1:11" x14ac:dyDescent="0.2">
      <c r="A269" s="43">
        <v>46054</v>
      </c>
      <c r="B269" t="s">
        <v>66</v>
      </c>
      <c r="C269" s="21">
        <v>38001011004</v>
      </c>
      <c r="D269" t="s">
        <v>65</v>
      </c>
      <c r="E269" s="39" t="s">
        <v>621</v>
      </c>
      <c r="F269" s="21">
        <v>1159</v>
      </c>
      <c r="G269" t="s">
        <v>14</v>
      </c>
      <c r="H269" s="21">
        <v>47</v>
      </c>
      <c r="I269" s="21">
        <v>1150</v>
      </c>
      <c r="J269" t="s">
        <v>15</v>
      </c>
      <c r="K269" s="41">
        <v>273.55</v>
      </c>
    </row>
    <row r="270" spans="1:11" x14ac:dyDescent="0.2">
      <c r="A270" s="43">
        <v>46054</v>
      </c>
      <c r="B270" t="s">
        <v>66</v>
      </c>
      <c r="C270" s="21">
        <v>38001011004</v>
      </c>
      <c r="D270" t="s">
        <v>65</v>
      </c>
      <c r="E270" s="39" t="s">
        <v>622</v>
      </c>
      <c r="F270" s="21">
        <v>1159</v>
      </c>
      <c r="G270" t="s">
        <v>14</v>
      </c>
      <c r="H270" s="21">
        <v>47</v>
      </c>
      <c r="I270" s="21">
        <v>1150</v>
      </c>
      <c r="J270" t="s">
        <v>15</v>
      </c>
      <c r="K270" s="41">
        <v>273.55</v>
      </c>
    </row>
    <row r="271" spans="1:11" x14ac:dyDescent="0.2">
      <c r="A271" s="43">
        <v>46054</v>
      </c>
      <c r="B271" t="s">
        <v>66</v>
      </c>
      <c r="C271" s="21">
        <v>38001011004</v>
      </c>
      <c r="D271" t="s">
        <v>65</v>
      </c>
      <c r="E271" s="39" t="s">
        <v>623</v>
      </c>
      <c r="F271" s="21">
        <v>1159</v>
      </c>
      <c r="G271" t="s">
        <v>14</v>
      </c>
      <c r="H271" s="21">
        <v>47</v>
      </c>
      <c r="I271" s="21">
        <v>1150</v>
      </c>
      <c r="J271" t="s">
        <v>15</v>
      </c>
      <c r="K271" s="41">
        <v>273.55</v>
      </c>
    </row>
    <row r="272" spans="1:11" x14ac:dyDescent="0.2">
      <c r="A272" s="43">
        <v>46054</v>
      </c>
      <c r="B272" t="s">
        <v>66</v>
      </c>
      <c r="C272" s="21">
        <v>38001011004</v>
      </c>
      <c r="D272" t="s">
        <v>65</v>
      </c>
      <c r="E272" s="39" t="s">
        <v>624</v>
      </c>
      <c r="F272" s="21">
        <v>1159</v>
      </c>
      <c r="G272" t="s">
        <v>14</v>
      </c>
      <c r="H272" s="21">
        <v>47</v>
      </c>
      <c r="I272" s="21">
        <v>1150</v>
      </c>
      <c r="J272" t="s">
        <v>15</v>
      </c>
      <c r="K272" s="41">
        <v>273.55</v>
      </c>
    </row>
    <row r="273" spans="1:11" x14ac:dyDescent="0.2">
      <c r="A273" s="43">
        <v>46054</v>
      </c>
      <c r="B273" t="s">
        <v>66</v>
      </c>
      <c r="C273" s="21">
        <v>38001011004</v>
      </c>
      <c r="D273" t="s">
        <v>65</v>
      </c>
      <c r="E273" s="39" t="s">
        <v>625</v>
      </c>
      <c r="F273" s="21">
        <v>1159</v>
      </c>
      <c r="G273" t="s">
        <v>14</v>
      </c>
      <c r="H273" s="21">
        <v>47</v>
      </c>
      <c r="I273" s="21">
        <v>1150</v>
      </c>
      <c r="J273" t="s">
        <v>15</v>
      </c>
      <c r="K273" s="41">
        <v>164.05</v>
      </c>
    </row>
    <row r="274" spans="1:11" x14ac:dyDescent="0.2">
      <c r="A274" s="43">
        <v>46054</v>
      </c>
      <c r="B274" t="s">
        <v>66</v>
      </c>
      <c r="C274" s="21">
        <v>38001011004</v>
      </c>
      <c r="D274" t="s">
        <v>65</v>
      </c>
      <c r="E274" s="39" t="s">
        <v>626</v>
      </c>
      <c r="F274" s="21">
        <v>1159</v>
      </c>
      <c r="G274" t="s">
        <v>14</v>
      </c>
      <c r="H274" s="21">
        <v>47</v>
      </c>
      <c r="I274" s="21">
        <v>1150</v>
      </c>
      <c r="J274" t="s">
        <v>15</v>
      </c>
      <c r="K274" s="41">
        <v>273.55</v>
      </c>
    </row>
    <row r="275" spans="1:11" x14ac:dyDescent="0.2">
      <c r="A275" s="43">
        <v>46054</v>
      </c>
      <c r="B275" t="s">
        <v>66</v>
      </c>
      <c r="C275" s="21">
        <v>38001011004</v>
      </c>
      <c r="D275" t="s">
        <v>65</v>
      </c>
      <c r="E275" s="39" t="s">
        <v>627</v>
      </c>
      <c r="F275" s="21">
        <v>1159</v>
      </c>
      <c r="G275" t="s">
        <v>14</v>
      </c>
      <c r="H275" s="21">
        <v>47</v>
      </c>
      <c r="I275" s="21">
        <v>1150</v>
      </c>
      <c r="J275" t="s">
        <v>15</v>
      </c>
      <c r="K275" s="41">
        <v>583.98</v>
      </c>
    </row>
    <row r="276" spans="1:11" x14ac:dyDescent="0.2">
      <c r="A276" s="43">
        <v>46054</v>
      </c>
      <c r="B276" t="s">
        <v>46</v>
      </c>
      <c r="C276" s="21">
        <v>38001002001</v>
      </c>
      <c r="D276" t="s">
        <v>48</v>
      </c>
      <c r="E276" s="39" t="s">
        <v>628</v>
      </c>
      <c r="F276" s="21">
        <v>1159</v>
      </c>
      <c r="G276" t="s">
        <v>14</v>
      </c>
      <c r="H276" s="21">
        <v>47</v>
      </c>
      <c r="I276" s="21">
        <v>1160</v>
      </c>
      <c r="J276" t="s">
        <v>13</v>
      </c>
      <c r="K276" s="41">
        <v>46.86</v>
      </c>
    </row>
    <row r="277" spans="1:11" x14ac:dyDescent="0.2">
      <c r="A277" s="43">
        <v>46054</v>
      </c>
      <c r="B277" t="s">
        <v>66</v>
      </c>
      <c r="C277" s="21">
        <v>38001011004</v>
      </c>
      <c r="D277" t="s">
        <v>65</v>
      </c>
      <c r="E277" s="39" t="s">
        <v>629</v>
      </c>
      <c r="F277" s="21">
        <v>1159</v>
      </c>
      <c r="G277" t="s">
        <v>14</v>
      </c>
      <c r="H277" s="21">
        <v>47</v>
      </c>
      <c r="I277" s="21">
        <v>1150</v>
      </c>
      <c r="J277" t="s">
        <v>15</v>
      </c>
      <c r="K277" s="41">
        <v>200</v>
      </c>
    </row>
    <row r="278" spans="1:11" x14ac:dyDescent="0.2">
      <c r="A278" s="43">
        <v>46054</v>
      </c>
      <c r="B278" t="s">
        <v>41</v>
      </c>
      <c r="C278" s="21">
        <v>38001019001</v>
      </c>
      <c r="D278" t="s">
        <v>55</v>
      </c>
      <c r="E278" s="39" t="s">
        <v>615</v>
      </c>
      <c r="F278" s="21">
        <v>1159</v>
      </c>
      <c r="G278" t="s">
        <v>14</v>
      </c>
      <c r="H278" s="21">
        <v>47</v>
      </c>
      <c r="I278" s="21">
        <v>1159</v>
      </c>
      <c r="J278" t="s">
        <v>14</v>
      </c>
      <c r="K278" s="41">
        <v>330</v>
      </c>
    </row>
    <row r="279" spans="1:11" x14ac:dyDescent="0.2">
      <c r="A279" s="43">
        <v>46054</v>
      </c>
      <c r="B279" t="s">
        <v>125</v>
      </c>
      <c r="C279" s="21">
        <v>38001027005</v>
      </c>
      <c r="D279" t="s">
        <v>188</v>
      </c>
      <c r="E279" s="39" t="s">
        <v>631</v>
      </c>
      <c r="F279" s="21">
        <v>1159</v>
      </c>
      <c r="G279" t="s">
        <v>14</v>
      </c>
      <c r="H279" s="21">
        <v>47</v>
      </c>
      <c r="I279" s="21">
        <v>1150</v>
      </c>
      <c r="J279" t="s">
        <v>15</v>
      </c>
      <c r="K279" s="41">
        <v>192.72</v>
      </c>
    </row>
    <row r="280" spans="1:11" x14ac:dyDescent="0.2">
      <c r="A280" s="43">
        <v>46054</v>
      </c>
      <c r="B280" t="s">
        <v>125</v>
      </c>
      <c r="C280" s="21">
        <v>38001027005</v>
      </c>
      <c r="D280" t="s">
        <v>188</v>
      </c>
      <c r="E280" s="39" t="s">
        <v>631</v>
      </c>
      <c r="F280" s="21">
        <v>1159</v>
      </c>
      <c r="G280" t="s">
        <v>14</v>
      </c>
      <c r="H280" s="21">
        <v>47</v>
      </c>
      <c r="I280" s="21">
        <v>1159</v>
      </c>
      <c r="J280" t="s">
        <v>14</v>
      </c>
      <c r="K280" s="41">
        <v>52.56</v>
      </c>
    </row>
    <row r="281" spans="1:11" x14ac:dyDescent="0.2">
      <c r="A281" s="43">
        <v>46054</v>
      </c>
      <c r="B281" t="s">
        <v>125</v>
      </c>
      <c r="C281" s="21">
        <v>38001027005</v>
      </c>
      <c r="D281" t="s">
        <v>188</v>
      </c>
      <c r="E281" s="39" t="s">
        <v>631</v>
      </c>
      <c r="F281" s="21">
        <v>1159</v>
      </c>
      <c r="G281" t="s">
        <v>14</v>
      </c>
      <c r="H281" s="21">
        <v>47</v>
      </c>
      <c r="I281" s="21">
        <v>1160</v>
      </c>
      <c r="J281" t="s">
        <v>13</v>
      </c>
      <c r="K281" s="41">
        <v>157.68</v>
      </c>
    </row>
    <row r="282" spans="1:11" x14ac:dyDescent="0.2">
      <c r="A282" s="43">
        <v>46054</v>
      </c>
      <c r="B282" t="s">
        <v>125</v>
      </c>
      <c r="C282" s="21">
        <v>38001027007</v>
      </c>
      <c r="D282" t="s">
        <v>126</v>
      </c>
      <c r="E282" s="39" t="s">
        <v>633</v>
      </c>
      <c r="F282" s="21">
        <v>1159</v>
      </c>
      <c r="G282" t="s">
        <v>14</v>
      </c>
      <c r="H282" s="21">
        <v>47</v>
      </c>
      <c r="I282" s="21">
        <v>1150</v>
      </c>
      <c r="J282" t="s">
        <v>15</v>
      </c>
      <c r="K282" s="41">
        <v>418.06</v>
      </c>
    </row>
    <row r="283" spans="1:11" x14ac:dyDescent="0.2">
      <c r="A283" s="43">
        <v>46054</v>
      </c>
      <c r="B283" t="s">
        <v>125</v>
      </c>
      <c r="C283" s="21">
        <v>38001027007</v>
      </c>
      <c r="D283" t="s">
        <v>126</v>
      </c>
      <c r="E283" s="39" t="s">
        <v>630</v>
      </c>
      <c r="F283" s="21">
        <v>1159</v>
      </c>
      <c r="G283" t="s">
        <v>14</v>
      </c>
      <c r="H283" s="21">
        <v>47</v>
      </c>
      <c r="I283" s="21">
        <v>1150</v>
      </c>
      <c r="J283" t="s">
        <v>15</v>
      </c>
      <c r="K283" s="41">
        <v>101.54</v>
      </c>
    </row>
    <row r="284" spans="1:11" x14ac:dyDescent="0.2">
      <c r="A284" s="43">
        <v>46054</v>
      </c>
      <c r="B284" t="s">
        <v>125</v>
      </c>
      <c r="C284" s="21">
        <v>38001027008</v>
      </c>
      <c r="D284" t="s">
        <v>12</v>
      </c>
      <c r="E284" s="39" t="s">
        <v>635</v>
      </c>
      <c r="F284" s="21">
        <v>1159</v>
      </c>
      <c r="G284" t="s">
        <v>14</v>
      </c>
      <c r="H284" s="21">
        <v>47</v>
      </c>
      <c r="I284" s="21">
        <v>1150</v>
      </c>
      <c r="J284" t="s">
        <v>15</v>
      </c>
      <c r="K284" s="41">
        <v>1650</v>
      </c>
    </row>
    <row r="285" spans="1:11" x14ac:dyDescent="0.2">
      <c r="A285" s="43">
        <v>46054</v>
      </c>
      <c r="B285" t="s">
        <v>125</v>
      </c>
      <c r="C285" s="21">
        <v>38001027008</v>
      </c>
      <c r="D285" t="s">
        <v>12</v>
      </c>
      <c r="E285" s="39" t="s">
        <v>634</v>
      </c>
      <c r="F285" s="21">
        <v>1159</v>
      </c>
      <c r="G285" t="s">
        <v>14</v>
      </c>
      <c r="H285" s="21">
        <v>47</v>
      </c>
      <c r="I285" s="21">
        <v>1150</v>
      </c>
      <c r="J285" t="s">
        <v>15</v>
      </c>
      <c r="K285" s="41">
        <v>6890</v>
      </c>
    </row>
    <row r="286" spans="1:11" x14ac:dyDescent="0.2">
      <c r="A286" s="43">
        <v>46054</v>
      </c>
      <c r="B286" t="s">
        <v>125</v>
      </c>
      <c r="C286" s="21">
        <v>38001027008</v>
      </c>
      <c r="D286" t="s">
        <v>12</v>
      </c>
      <c r="E286" s="39" t="s">
        <v>634</v>
      </c>
      <c r="F286" s="21">
        <v>1159</v>
      </c>
      <c r="G286" t="s">
        <v>14</v>
      </c>
      <c r="H286" s="21">
        <v>47</v>
      </c>
      <c r="I286" s="21">
        <v>1159</v>
      </c>
      <c r="J286" t="s">
        <v>14</v>
      </c>
      <c r="K286" s="41">
        <v>2200</v>
      </c>
    </row>
    <row r="287" spans="1:11" x14ac:dyDescent="0.2">
      <c r="A287" s="43">
        <v>46054</v>
      </c>
      <c r="B287" t="s">
        <v>125</v>
      </c>
      <c r="C287" s="21">
        <v>38001027008</v>
      </c>
      <c r="D287" t="s">
        <v>12</v>
      </c>
      <c r="E287" s="39" t="s">
        <v>635</v>
      </c>
      <c r="F287" s="21">
        <v>1159</v>
      </c>
      <c r="G287" t="s">
        <v>14</v>
      </c>
      <c r="H287" s="21">
        <v>47</v>
      </c>
      <c r="I287" s="21">
        <v>1160</v>
      </c>
      <c r="J287" t="s">
        <v>13</v>
      </c>
      <c r="K287" s="41">
        <v>1650</v>
      </c>
    </row>
    <row r="288" spans="1:11" x14ac:dyDescent="0.2">
      <c r="A288" s="43">
        <v>46054</v>
      </c>
      <c r="B288" t="s">
        <v>125</v>
      </c>
      <c r="C288" s="21">
        <v>38001027008</v>
      </c>
      <c r="D288" t="s">
        <v>12</v>
      </c>
      <c r="E288" s="39" t="s">
        <v>634</v>
      </c>
      <c r="F288" s="21">
        <v>1159</v>
      </c>
      <c r="G288" t="s">
        <v>14</v>
      </c>
      <c r="H288" s="21">
        <v>47</v>
      </c>
      <c r="I288" s="21">
        <v>1160</v>
      </c>
      <c r="J288" t="s">
        <v>13</v>
      </c>
      <c r="K288" s="41">
        <v>6310</v>
      </c>
    </row>
    <row r="289" spans="1:11" x14ac:dyDescent="0.2">
      <c r="A289" s="43">
        <v>46054</v>
      </c>
      <c r="B289" t="s">
        <v>57</v>
      </c>
      <c r="C289" s="21">
        <v>38001018007</v>
      </c>
      <c r="D289" t="s">
        <v>56</v>
      </c>
      <c r="E289" s="39" t="s">
        <v>636</v>
      </c>
      <c r="F289" s="21">
        <v>1159</v>
      </c>
      <c r="G289" t="s">
        <v>14</v>
      </c>
      <c r="H289" s="21">
        <v>47</v>
      </c>
      <c r="I289" s="21">
        <v>1159</v>
      </c>
      <c r="J289" t="s">
        <v>14</v>
      </c>
      <c r="K289" s="41">
        <v>865.5</v>
      </c>
    </row>
    <row r="290" spans="1:11" x14ac:dyDescent="0.2">
      <c r="A290" s="43">
        <v>46054</v>
      </c>
      <c r="B290" t="s">
        <v>35</v>
      </c>
      <c r="C290" s="21">
        <v>38001013002</v>
      </c>
      <c r="D290" t="s">
        <v>34</v>
      </c>
      <c r="E290" s="39" t="s">
        <v>637</v>
      </c>
      <c r="F290" s="21">
        <v>1159</v>
      </c>
      <c r="G290" t="s">
        <v>14</v>
      </c>
      <c r="H290" s="21">
        <v>47</v>
      </c>
      <c r="I290" s="21">
        <v>1150</v>
      </c>
      <c r="J290" t="s">
        <v>15</v>
      </c>
      <c r="K290" s="41">
        <v>156.02000000000001</v>
      </c>
    </row>
    <row r="291" spans="1:11" x14ac:dyDescent="0.2">
      <c r="A291" s="43">
        <v>46054</v>
      </c>
      <c r="B291" t="s">
        <v>35</v>
      </c>
      <c r="C291" s="21">
        <v>38001013002</v>
      </c>
      <c r="D291" t="s">
        <v>34</v>
      </c>
      <c r="E291" s="39" t="s">
        <v>637</v>
      </c>
      <c r="F291" s="21">
        <v>1159</v>
      </c>
      <c r="G291" t="s">
        <v>14</v>
      </c>
      <c r="H291" s="21">
        <v>47</v>
      </c>
      <c r="I291" s="21">
        <v>1159</v>
      </c>
      <c r="J291" t="s">
        <v>14</v>
      </c>
      <c r="K291" s="41">
        <v>119.34</v>
      </c>
    </row>
    <row r="292" spans="1:11" x14ac:dyDescent="0.2">
      <c r="A292" s="43">
        <v>46054</v>
      </c>
      <c r="B292" t="s">
        <v>35</v>
      </c>
      <c r="C292" s="21">
        <v>38001013002</v>
      </c>
      <c r="D292" t="s">
        <v>34</v>
      </c>
      <c r="E292" s="39" t="s">
        <v>637</v>
      </c>
      <c r="F292" s="21">
        <v>1159</v>
      </c>
      <c r="G292" t="s">
        <v>14</v>
      </c>
      <c r="H292" s="21">
        <v>47</v>
      </c>
      <c r="I292" s="21">
        <v>1160</v>
      </c>
      <c r="J292" t="s">
        <v>13</v>
      </c>
      <c r="K292" s="41">
        <v>125.15</v>
      </c>
    </row>
    <row r="293" spans="1:11" x14ac:dyDescent="0.2">
      <c r="A293" s="43">
        <v>46054</v>
      </c>
      <c r="B293" t="s">
        <v>125</v>
      </c>
      <c r="C293" s="21">
        <v>38001027004</v>
      </c>
      <c r="D293" t="s">
        <v>193</v>
      </c>
      <c r="E293" s="39" t="s">
        <v>632</v>
      </c>
      <c r="F293" s="21">
        <v>1159</v>
      </c>
      <c r="G293" t="s">
        <v>14</v>
      </c>
      <c r="H293" s="21">
        <v>47</v>
      </c>
      <c r="I293" s="21">
        <v>1150</v>
      </c>
      <c r="J293" t="s">
        <v>15</v>
      </c>
      <c r="K293" s="41">
        <v>461.76</v>
      </c>
    </row>
    <row r="294" spans="1:11" x14ac:dyDescent="0.2">
      <c r="A294" s="43">
        <v>46054</v>
      </c>
      <c r="B294" t="s">
        <v>125</v>
      </c>
      <c r="C294" s="21">
        <v>38001027004</v>
      </c>
      <c r="D294" t="s">
        <v>193</v>
      </c>
      <c r="E294" s="39" t="s">
        <v>632</v>
      </c>
      <c r="F294" s="21">
        <v>1159</v>
      </c>
      <c r="G294" t="s">
        <v>14</v>
      </c>
      <c r="H294" s="21">
        <v>47</v>
      </c>
      <c r="I294" s="21">
        <v>1159</v>
      </c>
      <c r="J294" t="s">
        <v>14</v>
      </c>
      <c r="K294" s="41">
        <v>173.16</v>
      </c>
    </row>
    <row r="295" spans="1:11" x14ac:dyDescent="0.2">
      <c r="A295" s="43">
        <v>46054</v>
      </c>
      <c r="B295" t="s">
        <v>125</v>
      </c>
      <c r="C295" s="21">
        <v>38001027004</v>
      </c>
      <c r="D295" t="s">
        <v>193</v>
      </c>
      <c r="E295" s="39" t="s">
        <v>632</v>
      </c>
      <c r="F295" s="21">
        <v>1159</v>
      </c>
      <c r="G295" t="s">
        <v>14</v>
      </c>
      <c r="H295" s="21">
        <v>47</v>
      </c>
      <c r="I295" s="21">
        <v>1160</v>
      </c>
      <c r="J295" t="s">
        <v>13</v>
      </c>
      <c r="K295" s="41">
        <v>259.74</v>
      </c>
    </row>
    <row r="296" spans="1:11" x14ac:dyDescent="0.2">
      <c r="A296" s="43">
        <v>46054</v>
      </c>
      <c r="B296" t="s">
        <v>41</v>
      </c>
      <c r="C296" s="21">
        <v>38001019004</v>
      </c>
      <c r="D296" t="s">
        <v>40</v>
      </c>
      <c r="E296" s="39" t="s">
        <v>638</v>
      </c>
      <c r="F296" s="21">
        <v>1159</v>
      </c>
      <c r="G296" t="s">
        <v>14</v>
      </c>
      <c r="H296" s="21">
        <v>47</v>
      </c>
      <c r="I296" s="21">
        <v>1159</v>
      </c>
      <c r="J296" t="s">
        <v>14</v>
      </c>
      <c r="K296" s="41">
        <v>244.82</v>
      </c>
    </row>
    <row r="297" spans="1:11" x14ac:dyDescent="0.2">
      <c r="A297" s="43">
        <v>46054</v>
      </c>
      <c r="B297" t="s">
        <v>41</v>
      </c>
      <c r="C297" s="21">
        <v>38001019005</v>
      </c>
      <c r="D297" t="s">
        <v>52</v>
      </c>
      <c r="E297" s="39" t="s">
        <v>639</v>
      </c>
      <c r="F297" s="21">
        <v>1159</v>
      </c>
      <c r="G297" t="s">
        <v>14</v>
      </c>
      <c r="H297" s="21">
        <v>47</v>
      </c>
      <c r="I297" s="21">
        <v>1159</v>
      </c>
      <c r="J297" t="s">
        <v>14</v>
      </c>
      <c r="K297" s="41">
        <v>338.55</v>
      </c>
    </row>
    <row r="298" spans="1:11" x14ac:dyDescent="0.2">
      <c r="A298" s="43">
        <v>46054</v>
      </c>
      <c r="B298" t="s">
        <v>57</v>
      </c>
      <c r="C298" s="21">
        <v>38001018002</v>
      </c>
      <c r="D298" t="s">
        <v>59</v>
      </c>
      <c r="E298" s="39" t="s">
        <v>608</v>
      </c>
      <c r="F298" s="21">
        <v>1159</v>
      </c>
      <c r="G298" t="s">
        <v>14</v>
      </c>
      <c r="H298" s="21">
        <v>47</v>
      </c>
      <c r="I298" s="21">
        <v>1159</v>
      </c>
      <c r="J298" t="s">
        <v>14</v>
      </c>
      <c r="K298" s="41">
        <v>6900</v>
      </c>
    </row>
    <row r="299" spans="1:11" x14ac:dyDescent="0.2">
      <c r="A299" s="43">
        <v>46054</v>
      </c>
      <c r="B299" t="s">
        <v>66</v>
      </c>
      <c r="C299" s="21">
        <v>38001011004</v>
      </c>
      <c r="D299" t="s">
        <v>65</v>
      </c>
      <c r="E299" s="39" t="s">
        <v>640</v>
      </c>
      <c r="F299" s="21">
        <v>1159</v>
      </c>
      <c r="G299" t="s">
        <v>14</v>
      </c>
      <c r="H299" s="21">
        <v>47</v>
      </c>
      <c r="I299" s="21">
        <v>1150</v>
      </c>
      <c r="J299" t="s">
        <v>15</v>
      </c>
      <c r="K299" s="41">
        <v>583.98</v>
      </c>
    </row>
    <row r="300" spans="1:11" x14ac:dyDescent="0.2">
      <c r="A300" s="43">
        <v>46054</v>
      </c>
      <c r="B300" t="s">
        <v>57</v>
      </c>
      <c r="C300" s="21">
        <v>38001018007</v>
      </c>
      <c r="D300" t="s">
        <v>56</v>
      </c>
      <c r="E300" s="39" t="s">
        <v>641</v>
      </c>
      <c r="F300" s="21">
        <v>1159</v>
      </c>
      <c r="G300" t="s">
        <v>14</v>
      </c>
      <c r="H300" s="21">
        <v>47</v>
      </c>
      <c r="I300" s="21">
        <v>1159</v>
      </c>
      <c r="J300" t="s">
        <v>14</v>
      </c>
      <c r="K300" s="41">
        <v>27.4</v>
      </c>
    </row>
    <row r="301" spans="1:11" x14ac:dyDescent="0.2">
      <c r="A301" s="43">
        <v>46054</v>
      </c>
      <c r="B301" t="s">
        <v>66</v>
      </c>
      <c r="C301" s="21">
        <v>38001011003</v>
      </c>
      <c r="D301" t="s">
        <v>68</v>
      </c>
      <c r="E301" s="39" t="s">
        <v>642</v>
      </c>
      <c r="F301" s="21">
        <v>1159</v>
      </c>
      <c r="G301" t="s">
        <v>14</v>
      </c>
      <c r="H301" s="21">
        <v>47</v>
      </c>
      <c r="I301" s="21">
        <v>1150</v>
      </c>
      <c r="J301" t="s">
        <v>15</v>
      </c>
      <c r="K301" s="41">
        <v>5850</v>
      </c>
    </row>
    <row r="302" spans="1:11" x14ac:dyDescent="0.2">
      <c r="A302" s="43">
        <v>46054</v>
      </c>
      <c r="B302" t="s">
        <v>46</v>
      </c>
      <c r="C302" s="21">
        <v>38001002001</v>
      </c>
      <c r="D302" t="s">
        <v>48</v>
      </c>
      <c r="E302" s="39" t="s">
        <v>643</v>
      </c>
      <c r="F302" s="21">
        <v>1159</v>
      </c>
      <c r="G302" t="s">
        <v>14</v>
      </c>
      <c r="H302" s="21">
        <v>47</v>
      </c>
      <c r="I302" s="21">
        <v>1160</v>
      </c>
      <c r="J302" t="s">
        <v>13</v>
      </c>
      <c r="K302" s="41">
        <v>656.36</v>
      </c>
    </row>
    <row r="303" spans="1:11" x14ac:dyDescent="0.2">
      <c r="A303" s="43">
        <v>46054</v>
      </c>
      <c r="B303" t="s">
        <v>46</v>
      </c>
      <c r="C303" s="21">
        <v>38001002001</v>
      </c>
      <c r="D303" t="s">
        <v>48</v>
      </c>
      <c r="E303" s="39" t="s">
        <v>644</v>
      </c>
      <c r="F303" s="21">
        <v>1159</v>
      </c>
      <c r="G303" t="s">
        <v>14</v>
      </c>
      <c r="H303" s="21">
        <v>47</v>
      </c>
      <c r="I303" s="21">
        <v>1160</v>
      </c>
      <c r="J303" t="s">
        <v>13</v>
      </c>
      <c r="K303" s="41">
        <v>5.27</v>
      </c>
    </row>
    <row r="304" spans="1:11" x14ac:dyDescent="0.2">
      <c r="A304" s="43">
        <v>46054</v>
      </c>
      <c r="B304" t="s">
        <v>66</v>
      </c>
      <c r="C304" s="21">
        <v>38001011002</v>
      </c>
      <c r="D304" t="s">
        <v>67</v>
      </c>
      <c r="E304" s="39" t="s">
        <v>645</v>
      </c>
      <c r="F304" s="21">
        <v>1159</v>
      </c>
      <c r="G304" t="s">
        <v>14</v>
      </c>
      <c r="H304" s="21">
        <v>47</v>
      </c>
      <c r="I304" s="21">
        <v>1150</v>
      </c>
      <c r="J304" t="s">
        <v>15</v>
      </c>
      <c r="K304" s="41">
        <v>56402.77</v>
      </c>
    </row>
    <row r="305" spans="1:11" x14ac:dyDescent="0.2">
      <c r="A305" s="43">
        <v>46054</v>
      </c>
      <c r="B305" t="s">
        <v>41</v>
      </c>
      <c r="C305" s="21">
        <v>38001019004</v>
      </c>
      <c r="D305" t="s">
        <v>40</v>
      </c>
      <c r="E305" s="39" t="s">
        <v>646</v>
      </c>
      <c r="F305" s="21">
        <v>1159</v>
      </c>
      <c r="G305" t="s">
        <v>14</v>
      </c>
      <c r="H305" s="21">
        <v>47</v>
      </c>
      <c r="I305" s="21">
        <v>1160</v>
      </c>
      <c r="J305" t="s">
        <v>13</v>
      </c>
      <c r="K305" s="41">
        <v>186</v>
      </c>
    </row>
    <row r="306" spans="1:11" x14ac:dyDescent="0.2">
      <c r="A306" s="43">
        <v>46054</v>
      </c>
      <c r="B306" t="s">
        <v>50</v>
      </c>
      <c r="C306" s="21">
        <v>38001008004</v>
      </c>
      <c r="D306" t="s">
        <v>49</v>
      </c>
      <c r="E306" s="39" t="s">
        <v>647</v>
      </c>
      <c r="F306" s="21">
        <v>1159</v>
      </c>
      <c r="G306" t="s">
        <v>14</v>
      </c>
      <c r="H306" s="21">
        <v>47</v>
      </c>
      <c r="I306" s="21">
        <v>1159</v>
      </c>
      <c r="J306" t="s">
        <v>14</v>
      </c>
      <c r="K306" s="41">
        <v>2100</v>
      </c>
    </row>
    <row r="307" spans="1:11" x14ac:dyDescent="0.2">
      <c r="A307" s="43">
        <v>46054</v>
      </c>
      <c r="B307" t="s">
        <v>66</v>
      </c>
      <c r="C307" s="21">
        <v>38001011004</v>
      </c>
      <c r="D307" t="s">
        <v>65</v>
      </c>
      <c r="E307" s="39" t="s">
        <v>648</v>
      </c>
      <c r="F307" s="21">
        <v>1159</v>
      </c>
      <c r="G307" t="s">
        <v>14</v>
      </c>
      <c r="H307" s="21">
        <v>47</v>
      </c>
      <c r="I307" s="21">
        <v>1150</v>
      </c>
      <c r="J307" t="s">
        <v>15</v>
      </c>
      <c r="K307" s="41">
        <v>273.55</v>
      </c>
    </row>
    <row r="308" spans="1:11" x14ac:dyDescent="0.2">
      <c r="A308" s="43">
        <v>46054</v>
      </c>
      <c r="B308" t="s">
        <v>41</v>
      </c>
      <c r="C308" s="21">
        <v>38001019002</v>
      </c>
      <c r="D308" t="s">
        <v>138</v>
      </c>
      <c r="E308" s="39" t="s">
        <v>649</v>
      </c>
      <c r="F308" s="21">
        <v>1159</v>
      </c>
      <c r="G308" t="s">
        <v>14</v>
      </c>
      <c r="H308" s="21">
        <v>47</v>
      </c>
      <c r="I308" s="21">
        <v>1159</v>
      </c>
      <c r="J308" t="s">
        <v>14</v>
      </c>
      <c r="K308" s="41">
        <v>5568.43</v>
      </c>
    </row>
    <row r="309" spans="1:11" x14ac:dyDescent="0.2">
      <c r="A309" s="43">
        <v>46054</v>
      </c>
      <c r="B309" t="s">
        <v>66</v>
      </c>
      <c r="C309" s="21">
        <v>38001011003</v>
      </c>
      <c r="D309" t="s">
        <v>68</v>
      </c>
      <c r="E309" s="39" t="s">
        <v>650</v>
      </c>
      <c r="F309" s="21">
        <v>1159</v>
      </c>
      <c r="G309" t="s">
        <v>14</v>
      </c>
      <c r="H309" s="21">
        <v>47</v>
      </c>
      <c r="I309" s="21">
        <v>1160</v>
      </c>
      <c r="J309" t="s">
        <v>13</v>
      </c>
      <c r="K309" s="41">
        <v>5000</v>
      </c>
    </row>
    <row r="310" spans="1:11" x14ac:dyDescent="0.2">
      <c r="A310" s="43">
        <v>46054</v>
      </c>
      <c r="B310" t="s">
        <v>46</v>
      </c>
      <c r="C310" s="21">
        <v>38001002001</v>
      </c>
      <c r="D310" t="s">
        <v>48</v>
      </c>
      <c r="E310" s="39" t="s">
        <v>651</v>
      </c>
      <c r="F310" s="21">
        <v>1159</v>
      </c>
      <c r="G310" t="s">
        <v>14</v>
      </c>
      <c r="H310" s="21">
        <v>47</v>
      </c>
      <c r="I310" s="21">
        <v>1160</v>
      </c>
      <c r="J310" t="s">
        <v>13</v>
      </c>
      <c r="K310" s="41">
        <v>-126.18</v>
      </c>
    </row>
    <row r="311" spans="1:11" x14ac:dyDescent="0.2">
      <c r="A311" s="43">
        <v>46054</v>
      </c>
      <c r="B311" t="s">
        <v>41</v>
      </c>
      <c r="C311" s="21">
        <v>38001019004</v>
      </c>
      <c r="D311" t="s">
        <v>40</v>
      </c>
      <c r="E311" s="39" t="s">
        <v>652</v>
      </c>
      <c r="F311" s="21">
        <v>1159</v>
      </c>
      <c r="G311" t="s">
        <v>14</v>
      </c>
      <c r="H311" s="21">
        <v>47</v>
      </c>
      <c r="I311" s="21">
        <v>1159</v>
      </c>
      <c r="J311" t="s">
        <v>14</v>
      </c>
      <c r="K311" s="41">
        <v>424.27</v>
      </c>
    </row>
    <row r="312" spans="1:11" x14ac:dyDescent="0.2">
      <c r="A312" s="43">
        <v>46054</v>
      </c>
      <c r="B312" t="s">
        <v>125</v>
      </c>
      <c r="C312" s="21">
        <v>38001027003</v>
      </c>
      <c r="D312" t="s">
        <v>186</v>
      </c>
      <c r="E312" s="39" t="s">
        <v>653</v>
      </c>
      <c r="F312" s="21">
        <v>1159</v>
      </c>
      <c r="G312" t="s">
        <v>14</v>
      </c>
      <c r="H312" s="21">
        <v>47</v>
      </c>
      <c r="I312" s="21">
        <v>1150</v>
      </c>
      <c r="J312" t="s">
        <v>15</v>
      </c>
      <c r="K312" s="41">
        <v>9596.08</v>
      </c>
    </row>
    <row r="313" spans="1:11" x14ac:dyDescent="0.2">
      <c r="A313" s="43">
        <v>46054</v>
      </c>
      <c r="B313" t="s">
        <v>125</v>
      </c>
      <c r="C313" s="21">
        <v>38001027003</v>
      </c>
      <c r="D313" t="s">
        <v>186</v>
      </c>
      <c r="E313" s="39" t="s">
        <v>653</v>
      </c>
      <c r="F313" s="21">
        <v>1159</v>
      </c>
      <c r="G313" t="s">
        <v>14</v>
      </c>
      <c r="H313" s="21">
        <v>47</v>
      </c>
      <c r="I313" s="21">
        <v>1159</v>
      </c>
      <c r="J313" t="s">
        <v>14</v>
      </c>
      <c r="K313" s="41">
        <v>4028.94</v>
      </c>
    </row>
    <row r="314" spans="1:11" x14ac:dyDescent="0.2">
      <c r="A314" s="43">
        <v>46054</v>
      </c>
      <c r="B314" t="s">
        <v>125</v>
      </c>
      <c r="C314" s="21">
        <v>38001027003</v>
      </c>
      <c r="D314" t="s">
        <v>186</v>
      </c>
      <c r="E314" s="39" t="s">
        <v>653</v>
      </c>
      <c r="F314" s="21">
        <v>1159</v>
      </c>
      <c r="G314" t="s">
        <v>14</v>
      </c>
      <c r="H314" s="21">
        <v>47</v>
      </c>
      <c r="I314" s="21">
        <v>1160</v>
      </c>
      <c r="J314" t="s">
        <v>13</v>
      </c>
      <c r="K314" s="41">
        <v>6328.04</v>
      </c>
    </row>
    <row r="315" spans="1:11" x14ac:dyDescent="0.2">
      <c r="A315" s="43">
        <v>46054</v>
      </c>
      <c r="B315" t="s">
        <v>0</v>
      </c>
      <c r="C315" s="21">
        <v>38001001004</v>
      </c>
      <c r="D315" t="s">
        <v>62</v>
      </c>
      <c r="E315" s="39" t="s">
        <v>654</v>
      </c>
      <c r="F315" s="21">
        <v>1159</v>
      </c>
      <c r="G315" t="s">
        <v>14</v>
      </c>
      <c r="H315" s="21">
        <v>47</v>
      </c>
      <c r="I315" s="21">
        <v>1150</v>
      </c>
      <c r="J315" t="s">
        <v>15</v>
      </c>
      <c r="K315" s="41">
        <v>1199.68</v>
      </c>
    </row>
    <row r="316" spans="1:11" x14ac:dyDescent="0.2">
      <c r="A316" s="43">
        <v>46054</v>
      </c>
      <c r="B316" t="s">
        <v>0</v>
      </c>
      <c r="C316" s="21">
        <v>38001001004</v>
      </c>
      <c r="D316" t="s">
        <v>62</v>
      </c>
      <c r="E316" s="39" t="s">
        <v>654</v>
      </c>
      <c r="F316" s="21">
        <v>1159</v>
      </c>
      <c r="G316" t="s">
        <v>14</v>
      </c>
      <c r="H316" s="21">
        <v>47</v>
      </c>
      <c r="I316" s="21">
        <v>1160</v>
      </c>
      <c r="J316" t="s">
        <v>13</v>
      </c>
      <c r="K316" s="41">
        <v>4300.55</v>
      </c>
    </row>
    <row r="317" spans="1:11" x14ac:dyDescent="0.2">
      <c r="A317" s="43">
        <v>46054</v>
      </c>
      <c r="B317" t="s">
        <v>46</v>
      </c>
      <c r="C317" s="21">
        <v>38001002001</v>
      </c>
      <c r="D317" t="s">
        <v>48</v>
      </c>
      <c r="E317" s="39" t="s">
        <v>655</v>
      </c>
      <c r="F317" s="21">
        <v>1159</v>
      </c>
      <c r="G317" t="s">
        <v>14</v>
      </c>
      <c r="H317" s="21">
        <v>47</v>
      </c>
      <c r="I317" s="21">
        <v>1160</v>
      </c>
      <c r="J317" t="s">
        <v>13</v>
      </c>
      <c r="K317" s="41">
        <v>7865.6</v>
      </c>
    </row>
    <row r="318" spans="1:11" x14ac:dyDescent="0.2">
      <c r="A318" s="43">
        <v>46054</v>
      </c>
      <c r="B318" t="s">
        <v>66</v>
      </c>
      <c r="C318" s="21">
        <v>38001011002</v>
      </c>
      <c r="D318" t="s">
        <v>67</v>
      </c>
      <c r="E318" s="39" t="s">
        <v>656</v>
      </c>
      <c r="F318" s="21">
        <v>1159</v>
      </c>
      <c r="G318" t="s">
        <v>14</v>
      </c>
      <c r="H318" s="21">
        <v>47</v>
      </c>
      <c r="I318" s="21">
        <v>1150</v>
      </c>
      <c r="J318" t="s">
        <v>15</v>
      </c>
      <c r="K318" s="41">
        <v>43926.239999999998</v>
      </c>
    </row>
    <row r="319" spans="1:11" x14ac:dyDescent="0.2">
      <c r="A319" s="43">
        <v>46054</v>
      </c>
      <c r="B319" t="s">
        <v>66</v>
      </c>
      <c r="C319" s="21">
        <v>38001011003</v>
      </c>
      <c r="D319" t="s">
        <v>68</v>
      </c>
      <c r="E319" s="39" t="s">
        <v>657</v>
      </c>
      <c r="F319" s="21">
        <v>1159</v>
      </c>
      <c r="G319" t="s">
        <v>14</v>
      </c>
      <c r="H319" s="21">
        <v>47</v>
      </c>
      <c r="I319" s="21">
        <v>1150</v>
      </c>
      <c r="J319" t="s">
        <v>15</v>
      </c>
      <c r="K319" s="41">
        <v>22038.57</v>
      </c>
    </row>
    <row r="320" spans="1:11" x14ac:dyDescent="0.2">
      <c r="A320" s="43">
        <v>46054</v>
      </c>
      <c r="B320" t="s">
        <v>66</v>
      </c>
      <c r="C320" s="21">
        <v>38001011002</v>
      </c>
      <c r="D320" t="s">
        <v>67</v>
      </c>
      <c r="E320" s="39" t="s">
        <v>658</v>
      </c>
      <c r="F320" s="21">
        <v>1159</v>
      </c>
      <c r="G320" t="s">
        <v>14</v>
      </c>
      <c r="H320" s="21">
        <v>47</v>
      </c>
      <c r="I320" s="21">
        <v>1150</v>
      </c>
      <c r="J320" t="s">
        <v>15</v>
      </c>
      <c r="K320" s="41">
        <v>24437.61</v>
      </c>
    </row>
    <row r="321" spans="1:11" x14ac:dyDescent="0.2">
      <c r="A321" s="43">
        <v>46054</v>
      </c>
      <c r="B321" t="s">
        <v>66</v>
      </c>
      <c r="C321" s="21">
        <v>38001011002</v>
      </c>
      <c r="D321" t="s">
        <v>67</v>
      </c>
      <c r="E321" s="39" t="s">
        <v>659</v>
      </c>
      <c r="F321" s="21">
        <v>1159</v>
      </c>
      <c r="G321" t="s">
        <v>14</v>
      </c>
      <c r="H321" s="21">
        <v>47</v>
      </c>
      <c r="I321" s="21">
        <v>1150</v>
      </c>
      <c r="J321" t="s">
        <v>15</v>
      </c>
      <c r="K321" s="41">
        <v>8500</v>
      </c>
    </row>
    <row r="322" spans="1:11" x14ac:dyDescent="0.2">
      <c r="A322" s="43">
        <v>46054</v>
      </c>
      <c r="B322" t="s">
        <v>66</v>
      </c>
      <c r="C322" s="21">
        <v>38001011003</v>
      </c>
      <c r="D322" t="s">
        <v>68</v>
      </c>
      <c r="E322" s="39" t="s">
        <v>660</v>
      </c>
      <c r="F322" s="21">
        <v>1159</v>
      </c>
      <c r="G322" t="s">
        <v>14</v>
      </c>
      <c r="H322" s="21">
        <v>47</v>
      </c>
      <c r="I322" s="21">
        <v>1150</v>
      </c>
      <c r="J322" t="s">
        <v>15</v>
      </c>
      <c r="K322" s="41">
        <v>3751.42</v>
      </c>
    </row>
    <row r="323" spans="1:11" x14ac:dyDescent="0.2">
      <c r="A323" s="43">
        <v>46054</v>
      </c>
      <c r="B323" t="s">
        <v>66</v>
      </c>
      <c r="C323" s="21">
        <v>38001011003</v>
      </c>
      <c r="D323" t="s">
        <v>68</v>
      </c>
      <c r="E323" s="39" t="s">
        <v>660</v>
      </c>
      <c r="F323" s="21">
        <v>1159</v>
      </c>
      <c r="G323" t="s">
        <v>14</v>
      </c>
      <c r="H323" s="21">
        <v>47</v>
      </c>
      <c r="I323" s="21">
        <v>1150</v>
      </c>
      <c r="J323" t="s">
        <v>15</v>
      </c>
      <c r="K323" s="41">
        <v>-3751.42</v>
      </c>
    </row>
    <row r="324" spans="1:11" x14ac:dyDescent="0.2">
      <c r="A324" s="43">
        <v>46054</v>
      </c>
      <c r="B324" t="s">
        <v>66</v>
      </c>
      <c r="C324" s="21">
        <v>38001011002</v>
      </c>
      <c r="D324" t="s">
        <v>67</v>
      </c>
      <c r="E324" s="39" t="s">
        <v>661</v>
      </c>
      <c r="F324" s="21">
        <v>1159</v>
      </c>
      <c r="G324" t="s">
        <v>14</v>
      </c>
      <c r="H324" s="21">
        <v>47</v>
      </c>
      <c r="I324" s="21">
        <v>1150</v>
      </c>
      <c r="J324" t="s">
        <v>15</v>
      </c>
      <c r="K324" s="41">
        <v>1300</v>
      </c>
    </row>
    <row r="325" spans="1:11" x14ac:dyDescent="0.2">
      <c r="A325" s="43">
        <v>46054</v>
      </c>
      <c r="B325" t="s">
        <v>41</v>
      </c>
      <c r="C325" s="21">
        <v>38001019001</v>
      </c>
      <c r="D325" t="s">
        <v>55</v>
      </c>
      <c r="E325" s="39" t="s">
        <v>592</v>
      </c>
      <c r="F325" s="21">
        <v>1159</v>
      </c>
      <c r="G325" t="s">
        <v>14</v>
      </c>
      <c r="H325" s="21">
        <v>47</v>
      </c>
      <c r="I325" s="21">
        <v>1159</v>
      </c>
      <c r="J325" t="s">
        <v>14</v>
      </c>
      <c r="K325" s="41">
        <v>395.2</v>
      </c>
    </row>
    <row r="326" spans="1:11" x14ac:dyDescent="0.2">
      <c r="A326" s="43">
        <v>46054</v>
      </c>
      <c r="B326" t="s">
        <v>41</v>
      </c>
      <c r="C326" s="21">
        <v>38001019001</v>
      </c>
      <c r="D326" t="s">
        <v>55</v>
      </c>
      <c r="E326" s="39" t="s">
        <v>592</v>
      </c>
      <c r="F326" s="21">
        <v>1159</v>
      </c>
      <c r="G326" t="s">
        <v>14</v>
      </c>
      <c r="H326" s="21">
        <v>47</v>
      </c>
      <c r="I326" s="21">
        <v>1159</v>
      </c>
      <c r="J326" t="s">
        <v>14</v>
      </c>
      <c r="K326" s="41">
        <v>-392.73</v>
      </c>
    </row>
    <row r="327" spans="1:11" x14ac:dyDescent="0.2">
      <c r="A327" s="43">
        <v>46054</v>
      </c>
      <c r="B327" t="s">
        <v>41</v>
      </c>
      <c r="C327" s="21">
        <v>38001019002</v>
      </c>
      <c r="D327" t="s">
        <v>138</v>
      </c>
      <c r="E327" s="39" t="s">
        <v>592</v>
      </c>
      <c r="F327" s="21">
        <v>1159</v>
      </c>
      <c r="G327" t="s">
        <v>14</v>
      </c>
      <c r="H327" s="21">
        <v>47</v>
      </c>
      <c r="I327" s="21">
        <v>1159</v>
      </c>
      <c r="J327" t="s">
        <v>14</v>
      </c>
      <c r="K327" s="41">
        <v>945.83</v>
      </c>
    </row>
    <row r="328" spans="1:11" x14ac:dyDescent="0.2">
      <c r="A328" s="43">
        <v>46054</v>
      </c>
      <c r="B328" t="s">
        <v>57</v>
      </c>
      <c r="C328" s="21">
        <v>38001018001</v>
      </c>
      <c r="D328" t="s">
        <v>60</v>
      </c>
      <c r="E328" s="39" t="s">
        <v>662</v>
      </c>
      <c r="F328" s="21">
        <v>1159</v>
      </c>
      <c r="G328" t="s">
        <v>14</v>
      </c>
      <c r="H328" s="21">
        <v>47</v>
      </c>
      <c r="I328" s="21">
        <v>1159</v>
      </c>
      <c r="J328" t="s">
        <v>14</v>
      </c>
      <c r="K328" s="41">
        <v>2270.39</v>
      </c>
    </row>
    <row r="329" spans="1:11" x14ac:dyDescent="0.2">
      <c r="A329" s="43">
        <v>46054</v>
      </c>
      <c r="B329" t="s">
        <v>66</v>
      </c>
      <c r="C329" s="56">
        <v>38001011004</v>
      </c>
      <c r="D329" t="s">
        <v>65</v>
      </c>
      <c r="E329" t="s">
        <v>663</v>
      </c>
      <c r="F329" s="56">
        <v>1159</v>
      </c>
      <c r="G329" t="s">
        <v>14</v>
      </c>
      <c r="H329" s="21">
        <v>47</v>
      </c>
      <c r="I329" s="21">
        <v>1150</v>
      </c>
      <c r="J329" t="s">
        <v>15</v>
      </c>
      <c r="K329" s="41">
        <v>38.97</v>
      </c>
    </row>
    <row r="330" spans="1:11" x14ac:dyDescent="0.2">
      <c r="A330" s="43">
        <v>46054</v>
      </c>
      <c r="B330" t="s">
        <v>72</v>
      </c>
      <c r="C330" s="56">
        <v>38001022001</v>
      </c>
      <c r="D330" t="s">
        <v>74</v>
      </c>
      <c r="E330" t="s">
        <v>332</v>
      </c>
      <c r="F330" s="56">
        <v>1000</v>
      </c>
      <c r="G330" t="s">
        <v>70</v>
      </c>
      <c r="H330" s="21">
        <v>51</v>
      </c>
      <c r="I330" s="21">
        <v>1003</v>
      </c>
      <c r="J330" t="s">
        <v>72</v>
      </c>
      <c r="K330" s="41">
        <v>13036.2</v>
      </c>
    </row>
    <row r="331" spans="1:11" x14ac:dyDescent="0.2">
      <c r="A331" s="43">
        <v>46082</v>
      </c>
      <c r="B331" t="s">
        <v>35</v>
      </c>
      <c r="C331" s="1">
        <v>38001013001</v>
      </c>
      <c r="D331" t="s">
        <v>35</v>
      </c>
      <c r="E331" s="39" t="s">
        <v>102</v>
      </c>
      <c r="F331" s="40">
        <v>1159</v>
      </c>
      <c r="G331" t="s">
        <v>14</v>
      </c>
      <c r="H331" s="40">
        <v>47</v>
      </c>
      <c r="I331" s="40">
        <v>1150</v>
      </c>
      <c r="J331" t="s">
        <v>15</v>
      </c>
      <c r="K331" s="41">
        <v>-647.4</v>
      </c>
    </row>
    <row r="332" spans="1:11" x14ac:dyDescent="0.2">
      <c r="A332" s="43">
        <v>46082</v>
      </c>
      <c r="B332" t="s">
        <v>35</v>
      </c>
      <c r="C332" s="1">
        <v>38001013001</v>
      </c>
      <c r="D332" t="s">
        <v>35</v>
      </c>
      <c r="E332" s="39" t="s">
        <v>103</v>
      </c>
      <c r="F332" s="40">
        <v>1159</v>
      </c>
      <c r="G332" t="s">
        <v>14</v>
      </c>
      <c r="H332" s="40">
        <v>47</v>
      </c>
      <c r="I332" s="40">
        <v>1150</v>
      </c>
      <c r="J332" t="s">
        <v>15</v>
      </c>
      <c r="K332" s="41">
        <v>-870.96</v>
      </c>
    </row>
    <row r="333" spans="1:11" x14ac:dyDescent="0.2">
      <c r="A333" s="43">
        <v>46082</v>
      </c>
      <c r="B333" t="s">
        <v>35</v>
      </c>
      <c r="C333" s="1">
        <v>38001013001</v>
      </c>
      <c r="D333" t="s">
        <v>35</v>
      </c>
      <c r="E333" s="39" t="s">
        <v>104</v>
      </c>
      <c r="F333" s="40">
        <v>1159</v>
      </c>
      <c r="G333" t="s">
        <v>14</v>
      </c>
      <c r="H333" s="40">
        <v>47</v>
      </c>
      <c r="I333" s="40">
        <v>1159</v>
      </c>
      <c r="J333" t="s">
        <v>14</v>
      </c>
      <c r="K333" s="41">
        <v>-647.4</v>
      </c>
    </row>
    <row r="334" spans="1:11" x14ac:dyDescent="0.2">
      <c r="A334" s="43">
        <v>46082</v>
      </c>
      <c r="B334" t="s">
        <v>35</v>
      </c>
      <c r="C334" s="1">
        <v>38001013001</v>
      </c>
      <c r="D334" t="s">
        <v>35</v>
      </c>
      <c r="E334" s="39" t="s">
        <v>105</v>
      </c>
      <c r="F334" s="40">
        <v>1159</v>
      </c>
      <c r="G334" t="s">
        <v>14</v>
      </c>
      <c r="H334" s="40">
        <v>47</v>
      </c>
      <c r="I334" s="40">
        <v>1160</v>
      </c>
      <c r="J334" t="s">
        <v>13</v>
      </c>
      <c r="K334" s="41">
        <v>-431.6</v>
      </c>
    </row>
    <row r="335" spans="1:11" x14ac:dyDescent="0.2">
      <c r="A335" s="43">
        <v>46082</v>
      </c>
      <c r="B335" t="s">
        <v>35</v>
      </c>
      <c r="C335" s="1">
        <v>38001013001</v>
      </c>
      <c r="D335" t="s">
        <v>35</v>
      </c>
      <c r="E335" s="39" t="s">
        <v>106</v>
      </c>
      <c r="F335" s="40">
        <v>1159</v>
      </c>
      <c r="G335" t="s">
        <v>14</v>
      </c>
      <c r="H335" s="40">
        <v>47</v>
      </c>
      <c r="I335" s="40">
        <v>1160</v>
      </c>
      <c r="J335" t="s">
        <v>13</v>
      </c>
      <c r="K335" s="41">
        <v>-655.16</v>
      </c>
    </row>
    <row r="336" spans="1:11" x14ac:dyDescent="0.2">
      <c r="A336" s="43">
        <v>46082</v>
      </c>
      <c r="B336" t="s">
        <v>35</v>
      </c>
      <c r="C336" s="1">
        <v>38001013001</v>
      </c>
      <c r="D336" t="s">
        <v>35</v>
      </c>
      <c r="E336" s="39" t="s">
        <v>109</v>
      </c>
      <c r="F336" s="40">
        <v>1159</v>
      </c>
      <c r="G336" t="s">
        <v>14</v>
      </c>
      <c r="H336" s="40">
        <v>47</v>
      </c>
      <c r="I336" s="40">
        <v>1150</v>
      </c>
      <c r="J336" t="s">
        <v>15</v>
      </c>
      <c r="K336" s="41">
        <v>-110.43</v>
      </c>
    </row>
    <row r="337" spans="1:11" x14ac:dyDescent="0.2">
      <c r="A337" s="43">
        <v>46082</v>
      </c>
      <c r="B337" t="s">
        <v>35</v>
      </c>
      <c r="C337" s="1">
        <v>38001013001</v>
      </c>
      <c r="D337" t="s">
        <v>35</v>
      </c>
      <c r="E337" s="39" t="s">
        <v>110</v>
      </c>
      <c r="F337" s="40">
        <v>1159</v>
      </c>
      <c r="G337" t="s">
        <v>14</v>
      </c>
      <c r="H337" s="40">
        <v>47</v>
      </c>
      <c r="I337" s="40">
        <v>1159</v>
      </c>
      <c r="J337" t="s">
        <v>14</v>
      </c>
      <c r="K337" s="41">
        <v>-46.3</v>
      </c>
    </row>
    <row r="338" spans="1:11" x14ac:dyDescent="0.2">
      <c r="A338" s="43">
        <v>46082</v>
      </c>
      <c r="B338" t="s">
        <v>35</v>
      </c>
      <c r="C338" s="1">
        <v>38001013001</v>
      </c>
      <c r="D338" t="s">
        <v>35</v>
      </c>
      <c r="E338" s="39" t="s">
        <v>111</v>
      </c>
      <c r="F338" s="40">
        <v>1159</v>
      </c>
      <c r="G338" t="s">
        <v>14</v>
      </c>
      <c r="H338" s="40">
        <v>47</v>
      </c>
      <c r="I338" s="40">
        <v>1160</v>
      </c>
      <c r="J338" t="s">
        <v>13</v>
      </c>
      <c r="K338" s="41">
        <v>-24.02</v>
      </c>
    </row>
    <row r="339" spans="1:11" x14ac:dyDescent="0.2">
      <c r="A339" s="43">
        <v>46082</v>
      </c>
      <c r="B339" t="s">
        <v>35</v>
      </c>
      <c r="C339" s="1">
        <v>38001013002</v>
      </c>
      <c r="D339" t="s">
        <v>34</v>
      </c>
      <c r="E339" s="39" t="s">
        <v>112</v>
      </c>
      <c r="F339" s="40">
        <v>1159</v>
      </c>
      <c r="G339" t="s">
        <v>14</v>
      </c>
      <c r="H339" s="40">
        <v>47</v>
      </c>
      <c r="I339" s="40">
        <v>1150</v>
      </c>
      <c r="J339" t="s">
        <v>15</v>
      </c>
      <c r="K339" s="41">
        <v>6625.92</v>
      </c>
    </row>
    <row r="340" spans="1:11" x14ac:dyDescent="0.2">
      <c r="A340" s="43">
        <v>46082</v>
      </c>
      <c r="B340" t="s">
        <v>35</v>
      </c>
      <c r="C340" s="1">
        <v>38001013002</v>
      </c>
      <c r="D340" t="s">
        <v>34</v>
      </c>
      <c r="E340" s="39" t="s">
        <v>113</v>
      </c>
      <c r="F340" s="40">
        <v>1159</v>
      </c>
      <c r="G340" t="s">
        <v>14</v>
      </c>
      <c r="H340" s="40">
        <v>47</v>
      </c>
      <c r="I340" s="40">
        <v>1159</v>
      </c>
      <c r="J340" t="s">
        <v>14</v>
      </c>
      <c r="K340" s="41">
        <v>6547.63</v>
      </c>
    </row>
    <row r="341" spans="1:11" x14ac:dyDescent="0.2">
      <c r="A341" s="43">
        <v>46082</v>
      </c>
      <c r="B341" t="s">
        <v>35</v>
      </c>
      <c r="C341" s="1">
        <v>38001013002</v>
      </c>
      <c r="D341" t="s">
        <v>34</v>
      </c>
      <c r="E341" s="39" t="s">
        <v>114</v>
      </c>
      <c r="F341" s="40">
        <v>1159</v>
      </c>
      <c r="G341" t="s">
        <v>14</v>
      </c>
      <c r="H341" s="40">
        <v>47</v>
      </c>
      <c r="I341" s="40">
        <v>1160</v>
      </c>
      <c r="J341" t="s">
        <v>13</v>
      </c>
      <c r="K341" s="41">
        <v>6211.28</v>
      </c>
    </row>
    <row r="342" spans="1:11" x14ac:dyDescent="0.2">
      <c r="A342" s="43">
        <v>46082</v>
      </c>
      <c r="B342" t="s">
        <v>107</v>
      </c>
      <c r="C342" s="1">
        <v>38001025002</v>
      </c>
      <c r="D342" t="s">
        <v>115</v>
      </c>
      <c r="E342" s="39" t="s">
        <v>116</v>
      </c>
      <c r="F342" s="40">
        <v>1159</v>
      </c>
      <c r="G342" t="s">
        <v>14</v>
      </c>
      <c r="H342" s="40">
        <v>47</v>
      </c>
      <c r="I342" s="40">
        <v>1150</v>
      </c>
      <c r="J342" t="s">
        <v>15</v>
      </c>
      <c r="K342" s="41">
        <v>472.58</v>
      </c>
    </row>
    <row r="343" spans="1:11" x14ac:dyDescent="0.2">
      <c r="A343" s="43">
        <v>46082</v>
      </c>
      <c r="B343" t="s">
        <v>107</v>
      </c>
      <c r="C343" s="1">
        <v>38001025002</v>
      </c>
      <c r="D343" t="s">
        <v>115</v>
      </c>
      <c r="E343" s="39" t="s">
        <v>117</v>
      </c>
      <c r="F343" s="40">
        <v>1159</v>
      </c>
      <c r="G343" t="s">
        <v>14</v>
      </c>
      <c r="H343" s="40">
        <v>47</v>
      </c>
      <c r="I343" s="40">
        <v>1159</v>
      </c>
      <c r="J343" t="s">
        <v>14</v>
      </c>
      <c r="K343" s="41">
        <v>425.23</v>
      </c>
    </row>
    <row r="344" spans="1:11" x14ac:dyDescent="0.2">
      <c r="A344" s="43">
        <v>46082</v>
      </c>
      <c r="B344" t="s">
        <v>107</v>
      </c>
      <c r="C344" s="1">
        <v>38001025002</v>
      </c>
      <c r="D344" t="s">
        <v>115</v>
      </c>
      <c r="E344" s="39" t="s">
        <v>118</v>
      </c>
      <c r="F344" s="40">
        <v>1159</v>
      </c>
      <c r="G344" t="s">
        <v>14</v>
      </c>
      <c r="H344" s="40">
        <v>47</v>
      </c>
      <c r="I344" s="40">
        <v>1160</v>
      </c>
      <c r="J344" t="s">
        <v>13</v>
      </c>
      <c r="K344" s="41">
        <v>431.47</v>
      </c>
    </row>
    <row r="345" spans="1:11" x14ac:dyDescent="0.2">
      <c r="A345" s="43">
        <v>46082</v>
      </c>
      <c r="B345" t="s">
        <v>38</v>
      </c>
      <c r="C345" s="1">
        <v>38001023002</v>
      </c>
      <c r="D345" t="s">
        <v>37</v>
      </c>
      <c r="E345" s="39" t="s">
        <v>119</v>
      </c>
      <c r="F345" s="40">
        <v>1159</v>
      </c>
      <c r="G345" t="s">
        <v>14</v>
      </c>
      <c r="H345" s="40">
        <v>47</v>
      </c>
      <c r="I345" s="40">
        <v>1150</v>
      </c>
      <c r="J345" t="s">
        <v>15</v>
      </c>
      <c r="K345" s="41">
        <v>784.83</v>
      </c>
    </row>
    <row r="346" spans="1:11" x14ac:dyDescent="0.2">
      <c r="A346" s="43">
        <v>46082</v>
      </c>
      <c r="B346" t="s">
        <v>38</v>
      </c>
      <c r="C346" s="1">
        <v>38001023002</v>
      </c>
      <c r="D346" t="s">
        <v>37</v>
      </c>
      <c r="E346" s="39" t="s">
        <v>120</v>
      </c>
      <c r="F346" s="40">
        <v>1159</v>
      </c>
      <c r="G346" t="s">
        <v>14</v>
      </c>
      <c r="H346" s="40">
        <v>47</v>
      </c>
      <c r="I346" s="40">
        <v>1159</v>
      </c>
      <c r="J346" t="s">
        <v>14</v>
      </c>
      <c r="K346" s="41">
        <v>566.97</v>
      </c>
    </row>
    <row r="347" spans="1:11" x14ac:dyDescent="0.2">
      <c r="A347" s="43">
        <v>46082</v>
      </c>
      <c r="B347" t="s">
        <v>38</v>
      </c>
      <c r="C347" s="1">
        <v>38001023002</v>
      </c>
      <c r="D347" t="s">
        <v>37</v>
      </c>
      <c r="E347" s="39" t="s">
        <v>121</v>
      </c>
      <c r="F347" s="40">
        <v>1159</v>
      </c>
      <c r="G347" t="s">
        <v>14</v>
      </c>
      <c r="H347" s="40">
        <v>47</v>
      </c>
      <c r="I347" s="40">
        <v>1160</v>
      </c>
      <c r="J347" t="s">
        <v>13</v>
      </c>
      <c r="K347" s="41">
        <v>575.29999999999995</v>
      </c>
    </row>
    <row r="348" spans="1:11" x14ac:dyDescent="0.2">
      <c r="A348" s="43">
        <v>46082</v>
      </c>
      <c r="B348" t="s">
        <v>107</v>
      </c>
      <c r="C348" s="1">
        <v>38001025004</v>
      </c>
      <c r="D348" t="s">
        <v>108</v>
      </c>
      <c r="E348" s="39" t="s">
        <v>122</v>
      </c>
      <c r="F348" s="40">
        <v>1159</v>
      </c>
      <c r="G348" t="s">
        <v>14</v>
      </c>
      <c r="H348" s="40">
        <v>47</v>
      </c>
      <c r="I348" s="40">
        <v>1150</v>
      </c>
      <c r="J348" t="s">
        <v>15</v>
      </c>
      <c r="K348" s="41">
        <v>442.1</v>
      </c>
    </row>
    <row r="349" spans="1:11" x14ac:dyDescent="0.2">
      <c r="A349" s="43">
        <v>46082</v>
      </c>
      <c r="B349" t="s">
        <v>107</v>
      </c>
      <c r="C349" s="1">
        <v>38001025004</v>
      </c>
      <c r="D349" t="s">
        <v>108</v>
      </c>
      <c r="E349" s="39" t="s">
        <v>123</v>
      </c>
      <c r="F349" s="40">
        <v>1159</v>
      </c>
      <c r="G349" t="s">
        <v>14</v>
      </c>
      <c r="H349" s="40">
        <v>47</v>
      </c>
      <c r="I349" s="40">
        <v>1159</v>
      </c>
      <c r="J349" t="s">
        <v>14</v>
      </c>
      <c r="K349" s="41">
        <v>397.8</v>
      </c>
    </row>
    <row r="350" spans="1:11" x14ac:dyDescent="0.2">
      <c r="A350" s="43">
        <v>46082</v>
      </c>
      <c r="B350" t="s">
        <v>107</v>
      </c>
      <c r="C350" s="1">
        <v>38001025004</v>
      </c>
      <c r="D350" t="s">
        <v>108</v>
      </c>
      <c r="E350" s="39" t="s">
        <v>124</v>
      </c>
      <c r="F350" s="40">
        <v>1159</v>
      </c>
      <c r="G350" t="s">
        <v>14</v>
      </c>
      <c r="H350" s="40">
        <v>47</v>
      </c>
      <c r="I350" s="40">
        <v>1160</v>
      </c>
      <c r="J350" t="s">
        <v>13</v>
      </c>
      <c r="K350" s="41">
        <v>403.63</v>
      </c>
    </row>
    <row r="351" spans="1:11" x14ac:dyDescent="0.2">
      <c r="A351" s="43">
        <v>46082</v>
      </c>
      <c r="B351" t="s">
        <v>125</v>
      </c>
      <c r="C351" s="1">
        <v>38001027007</v>
      </c>
      <c r="D351" t="s">
        <v>126</v>
      </c>
      <c r="E351" s="39" t="s">
        <v>127</v>
      </c>
      <c r="F351" s="40">
        <v>1159</v>
      </c>
      <c r="G351" t="s">
        <v>14</v>
      </c>
      <c r="H351" s="40">
        <v>47</v>
      </c>
      <c r="I351" s="40">
        <v>1150</v>
      </c>
      <c r="J351" t="s">
        <v>15</v>
      </c>
      <c r="K351" s="41">
        <v>-436.94</v>
      </c>
    </row>
    <row r="352" spans="1:11" x14ac:dyDescent="0.2">
      <c r="A352" s="43">
        <v>46082</v>
      </c>
      <c r="B352" t="s">
        <v>38</v>
      </c>
      <c r="C352" s="1">
        <v>38001023004</v>
      </c>
      <c r="D352" t="s">
        <v>36</v>
      </c>
      <c r="E352" s="39" t="s">
        <v>128</v>
      </c>
      <c r="F352" s="40">
        <v>1159</v>
      </c>
      <c r="G352" t="s">
        <v>14</v>
      </c>
      <c r="H352" s="40">
        <v>47</v>
      </c>
      <c r="I352" s="40">
        <v>1150</v>
      </c>
      <c r="J352" t="s">
        <v>15</v>
      </c>
      <c r="K352" s="41">
        <v>734.21</v>
      </c>
    </row>
    <row r="353" spans="1:11" x14ac:dyDescent="0.2">
      <c r="A353" s="43">
        <v>46082</v>
      </c>
      <c r="B353" t="s">
        <v>38</v>
      </c>
      <c r="C353" s="1">
        <v>38001023004</v>
      </c>
      <c r="D353" t="s">
        <v>36</v>
      </c>
      <c r="E353" s="39" t="s">
        <v>129</v>
      </c>
      <c r="F353" s="40">
        <v>1159</v>
      </c>
      <c r="G353" t="s">
        <v>14</v>
      </c>
      <c r="H353" s="40">
        <v>47</v>
      </c>
      <c r="I353" s="40">
        <v>1159</v>
      </c>
      <c r="J353" t="s">
        <v>14</v>
      </c>
      <c r="K353" s="41">
        <v>530.41</v>
      </c>
    </row>
    <row r="354" spans="1:11" x14ac:dyDescent="0.2">
      <c r="A354" s="43">
        <v>46082</v>
      </c>
      <c r="B354" t="s">
        <v>38</v>
      </c>
      <c r="C354" s="1">
        <v>38001023004</v>
      </c>
      <c r="D354" t="s">
        <v>36</v>
      </c>
      <c r="E354" s="39" t="s">
        <v>130</v>
      </c>
      <c r="F354" s="40">
        <v>1159</v>
      </c>
      <c r="G354" t="s">
        <v>14</v>
      </c>
      <c r="H354" s="40">
        <v>47</v>
      </c>
      <c r="I354" s="40">
        <v>1160</v>
      </c>
      <c r="J354" t="s">
        <v>13</v>
      </c>
      <c r="K354" s="41">
        <v>538.21</v>
      </c>
    </row>
    <row r="355" spans="1:11" x14ac:dyDescent="0.2">
      <c r="A355" s="43">
        <v>46082</v>
      </c>
      <c r="B355" t="s">
        <v>46</v>
      </c>
      <c r="C355" s="1">
        <v>38001002001</v>
      </c>
      <c r="D355" t="s">
        <v>48</v>
      </c>
      <c r="E355" s="39" t="s">
        <v>131</v>
      </c>
      <c r="F355" s="40">
        <v>1159</v>
      </c>
      <c r="G355" t="s">
        <v>14</v>
      </c>
      <c r="H355" s="40">
        <v>47</v>
      </c>
      <c r="I355" s="40">
        <v>1160</v>
      </c>
      <c r="J355" t="s">
        <v>13</v>
      </c>
      <c r="K355" s="41">
        <v>656.36</v>
      </c>
    </row>
    <row r="356" spans="1:11" x14ac:dyDescent="0.2">
      <c r="A356" s="43">
        <v>46082</v>
      </c>
      <c r="B356" t="s">
        <v>0</v>
      </c>
      <c r="C356" s="1">
        <v>38001001004</v>
      </c>
      <c r="D356" t="s">
        <v>62</v>
      </c>
      <c r="E356" s="39" t="s">
        <v>133</v>
      </c>
      <c r="F356" s="40">
        <v>1159</v>
      </c>
      <c r="G356" t="s">
        <v>14</v>
      </c>
      <c r="H356" s="40">
        <v>47</v>
      </c>
      <c r="I356" s="40">
        <v>1150</v>
      </c>
      <c r="J356" t="s">
        <v>15</v>
      </c>
      <c r="K356" s="41">
        <v>1515.06</v>
      </c>
    </row>
    <row r="357" spans="1:11" x14ac:dyDescent="0.2">
      <c r="A357" s="43">
        <v>46082</v>
      </c>
      <c r="B357" t="s">
        <v>0</v>
      </c>
      <c r="C357" s="1">
        <v>38001001004</v>
      </c>
      <c r="D357" t="s">
        <v>62</v>
      </c>
      <c r="E357" s="39" t="s">
        <v>133</v>
      </c>
      <c r="F357" s="40">
        <v>1159</v>
      </c>
      <c r="G357" t="s">
        <v>14</v>
      </c>
      <c r="H357" s="40">
        <v>47</v>
      </c>
      <c r="I357" s="40">
        <v>1160</v>
      </c>
      <c r="J357" t="s">
        <v>13</v>
      </c>
      <c r="K357" s="41">
        <v>1210.6500000000001</v>
      </c>
    </row>
    <row r="358" spans="1:11" x14ac:dyDescent="0.2">
      <c r="A358" s="43">
        <v>46082</v>
      </c>
      <c r="B358" t="s">
        <v>57</v>
      </c>
      <c r="C358" s="1">
        <v>38001018007</v>
      </c>
      <c r="D358" t="s">
        <v>56</v>
      </c>
      <c r="E358" s="39" t="s">
        <v>134</v>
      </c>
      <c r="F358" s="40">
        <v>1159</v>
      </c>
      <c r="G358" t="s">
        <v>14</v>
      </c>
      <c r="H358" s="40">
        <v>47</v>
      </c>
      <c r="I358" s="40">
        <v>1159</v>
      </c>
      <c r="J358" t="s">
        <v>14</v>
      </c>
      <c r="K358" s="41">
        <v>577.5</v>
      </c>
    </row>
    <row r="359" spans="1:11" x14ac:dyDescent="0.2">
      <c r="A359" s="43">
        <v>46082</v>
      </c>
      <c r="B359" t="s">
        <v>66</v>
      </c>
      <c r="C359" s="1">
        <v>38001011004</v>
      </c>
      <c r="D359" t="s">
        <v>65</v>
      </c>
      <c r="E359" s="39" t="s">
        <v>135</v>
      </c>
      <c r="F359" s="40">
        <v>1159</v>
      </c>
      <c r="G359" t="s">
        <v>14</v>
      </c>
      <c r="H359" s="40">
        <v>47</v>
      </c>
      <c r="I359" s="40">
        <v>1150</v>
      </c>
      <c r="J359" t="s">
        <v>15</v>
      </c>
      <c r="K359" s="41">
        <v>583.98</v>
      </c>
    </row>
    <row r="360" spans="1:11" x14ac:dyDescent="0.2">
      <c r="A360" s="43">
        <v>46082</v>
      </c>
      <c r="B360" t="s">
        <v>46</v>
      </c>
      <c r="C360" s="1">
        <v>38001002001</v>
      </c>
      <c r="D360" t="s">
        <v>48</v>
      </c>
      <c r="E360" s="39" t="s">
        <v>136</v>
      </c>
      <c r="F360" s="40">
        <v>1159</v>
      </c>
      <c r="G360" t="s">
        <v>14</v>
      </c>
      <c r="H360" s="40">
        <v>47</v>
      </c>
      <c r="I360" s="40">
        <v>1160</v>
      </c>
      <c r="J360" t="s">
        <v>13</v>
      </c>
      <c r="K360" s="41">
        <v>34</v>
      </c>
    </row>
    <row r="361" spans="1:11" x14ac:dyDescent="0.2">
      <c r="A361" s="43">
        <v>46082</v>
      </c>
      <c r="B361" t="s">
        <v>66</v>
      </c>
      <c r="C361" s="1">
        <v>38001011003</v>
      </c>
      <c r="D361" t="s">
        <v>68</v>
      </c>
      <c r="E361" s="39" t="s">
        <v>139</v>
      </c>
      <c r="F361" s="40">
        <v>1159</v>
      </c>
      <c r="G361" t="s">
        <v>14</v>
      </c>
      <c r="H361" s="40">
        <v>47</v>
      </c>
      <c r="I361" s="40">
        <v>1150</v>
      </c>
      <c r="J361" t="s">
        <v>15</v>
      </c>
      <c r="K361" s="41">
        <v>8000</v>
      </c>
    </row>
    <row r="362" spans="1:11" x14ac:dyDescent="0.2">
      <c r="A362" s="43">
        <v>46082</v>
      </c>
      <c r="B362" t="s">
        <v>66</v>
      </c>
      <c r="C362" s="1">
        <v>38001011003</v>
      </c>
      <c r="D362" t="s">
        <v>68</v>
      </c>
      <c r="E362" s="39" t="s">
        <v>140</v>
      </c>
      <c r="F362" s="40">
        <v>1159</v>
      </c>
      <c r="G362" t="s">
        <v>14</v>
      </c>
      <c r="H362" s="40">
        <v>47</v>
      </c>
      <c r="I362" s="40">
        <v>1150</v>
      </c>
      <c r="J362" t="s">
        <v>15</v>
      </c>
      <c r="K362" s="41">
        <v>15000</v>
      </c>
    </row>
    <row r="363" spans="1:11" x14ac:dyDescent="0.2">
      <c r="A363" s="43">
        <v>46082</v>
      </c>
      <c r="B363" t="s">
        <v>66</v>
      </c>
      <c r="C363" s="1">
        <v>38001011003</v>
      </c>
      <c r="D363" t="s">
        <v>68</v>
      </c>
      <c r="E363" s="39" t="s">
        <v>141</v>
      </c>
      <c r="F363" s="40">
        <v>1159</v>
      </c>
      <c r="G363" t="s">
        <v>14</v>
      </c>
      <c r="H363" s="40">
        <v>47</v>
      </c>
      <c r="I363" s="40">
        <v>1150</v>
      </c>
      <c r="J363" t="s">
        <v>15</v>
      </c>
      <c r="K363" s="41">
        <v>22691.07</v>
      </c>
    </row>
    <row r="364" spans="1:11" x14ac:dyDescent="0.2">
      <c r="A364" s="43">
        <v>46082</v>
      </c>
      <c r="B364" t="s">
        <v>66</v>
      </c>
      <c r="C364" s="1">
        <v>38001011004</v>
      </c>
      <c r="D364" t="s">
        <v>65</v>
      </c>
      <c r="E364" s="39" t="s">
        <v>142</v>
      </c>
      <c r="F364" s="40">
        <v>1159</v>
      </c>
      <c r="G364" t="s">
        <v>14</v>
      </c>
      <c r="H364" s="40">
        <v>47</v>
      </c>
      <c r="I364" s="40">
        <v>1150</v>
      </c>
      <c r="J364" t="s">
        <v>15</v>
      </c>
      <c r="K364" s="41">
        <v>583.98</v>
      </c>
    </row>
    <row r="365" spans="1:11" x14ac:dyDescent="0.2">
      <c r="A365" s="43">
        <v>46082</v>
      </c>
      <c r="B365" t="s">
        <v>66</v>
      </c>
      <c r="C365" s="1">
        <v>38001011004</v>
      </c>
      <c r="D365" t="s">
        <v>65</v>
      </c>
      <c r="E365" s="39" t="s">
        <v>143</v>
      </c>
      <c r="F365" s="40">
        <v>1159</v>
      </c>
      <c r="G365" t="s">
        <v>14</v>
      </c>
      <c r="H365" s="40">
        <v>47</v>
      </c>
      <c r="I365" s="40">
        <v>1150</v>
      </c>
      <c r="J365" t="s">
        <v>15</v>
      </c>
      <c r="K365" s="41">
        <v>273.55</v>
      </c>
    </row>
    <row r="366" spans="1:11" x14ac:dyDescent="0.2">
      <c r="A366" s="43">
        <v>46082</v>
      </c>
      <c r="B366" t="s">
        <v>66</v>
      </c>
      <c r="C366" s="1">
        <v>38001011003</v>
      </c>
      <c r="D366" t="s">
        <v>68</v>
      </c>
      <c r="E366" s="39" t="s">
        <v>144</v>
      </c>
      <c r="F366" s="40">
        <v>1159</v>
      </c>
      <c r="G366" t="s">
        <v>14</v>
      </c>
      <c r="H366" s="40">
        <v>47</v>
      </c>
      <c r="I366" s="40">
        <v>1160</v>
      </c>
      <c r="J366" t="s">
        <v>13</v>
      </c>
      <c r="K366" s="41">
        <v>100000</v>
      </c>
    </row>
    <row r="367" spans="1:11" x14ac:dyDescent="0.2">
      <c r="A367" s="43">
        <v>46082</v>
      </c>
      <c r="B367" t="s">
        <v>66</v>
      </c>
      <c r="C367" s="1">
        <v>38001011004</v>
      </c>
      <c r="D367" t="s">
        <v>65</v>
      </c>
      <c r="E367" s="39" t="s">
        <v>145</v>
      </c>
      <c r="F367" s="40">
        <v>1159</v>
      </c>
      <c r="G367" t="s">
        <v>14</v>
      </c>
      <c r="H367" s="40">
        <v>47</v>
      </c>
      <c r="I367" s="40">
        <v>1150</v>
      </c>
      <c r="J367" t="s">
        <v>15</v>
      </c>
      <c r="K367" s="41">
        <v>2500</v>
      </c>
    </row>
    <row r="368" spans="1:11" x14ac:dyDescent="0.2">
      <c r="A368" s="43">
        <v>46082</v>
      </c>
      <c r="B368" t="s">
        <v>66</v>
      </c>
      <c r="C368" s="1">
        <v>38001011002</v>
      </c>
      <c r="D368" t="s">
        <v>67</v>
      </c>
      <c r="E368" s="39" t="s">
        <v>146</v>
      </c>
      <c r="F368" s="40">
        <v>1159</v>
      </c>
      <c r="G368" t="s">
        <v>14</v>
      </c>
      <c r="H368" s="40">
        <v>47</v>
      </c>
      <c r="I368" s="40">
        <v>1150</v>
      </c>
      <c r="J368" t="s">
        <v>15</v>
      </c>
      <c r="K368" s="41">
        <v>59803.95</v>
      </c>
    </row>
    <row r="369" spans="1:11" x14ac:dyDescent="0.2">
      <c r="A369" s="43">
        <v>46082</v>
      </c>
      <c r="B369" t="s">
        <v>50</v>
      </c>
      <c r="C369" s="1">
        <v>38001008004</v>
      </c>
      <c r="D369" t="s">
        <v>49</v>
      </c>
      <c r="E369" s="39" t="s">
        <v>147</v>
      </c>
      <c r="F369" s="40">
        <v>1159</v>
      </c>
      <c r="G369" t="s">
        <v>14</v>
      </c>
      <c r="H369" s="40">
        <v>47</v>
      </c>
      <c r="I369" s="40">
        <v>1159</v>
      </c>
      <c r="J369" t="s">
        <v>14</v>
      </c>
      <c r="K369" s="41">
        <v>0.67</v>
      </c>
    </row>
    <row r="370" spans="1:11" x14ac:dyDescent="0.2">
      <c r="A370" s="43">
        <v>46082</v>
      </c>
      <c r="B370" t="s">
        <v>50</v>
      </c>
      <c r="C370" s="1">
        <v>38001008004</v>
      </c>
      <c r="D370" t="s">
        <v>49</v>
      </c>
      <c r="E370" s="39" t="s">
        <v>148</v>
      </c>
      <c r="F370" s="40">
        <v>1159</v>
      </c>
      <c r="G370" t="s">
        <v>14</v>
      </c>
      <c r="H370" s="40">
        <v>47</v>
      </c>
      <c r="I370" s="40">
        <v>1159</v>
      </c>
      <c r="J370" t="s">
        <v>14</v>
      </c>
      <c r="K370" s="41">
        <v>4.33</v>
      </c>
    </row>
    <row r="371" spans="1:11" x14ac:dyDescent="0.2">
      <c r="A371" s="43">
        <v>46082</v>
      </c>
      <c r="B371" t="s">
        <v>50</v>
      </c>
      <c r="C371" s="1">
        <v>38001008004</v>
      </c>
      <c r="D371" t="s">
        <v>49</v>
      </c>
      <c r="E371" s="39" t="s">
        <v>147</v>
      </c>
      <c r="F371" s="40">
        <v>1159</v>
      </c>
      <c r="G371" t="s">
        <v>14</v>
      </c>
      <c r="H371" s="40">
        <v>47</v>
      </c>
      <c r="I371" s="40">
        <v>1159</v>
      </c>
      <c r="J371" t="s">
        <v>14</v>
      </c>
      <c r="K371" s="41">
        <v>15.66</v>
      </c>
    </row>
    <row r="372" spans="1:11" x14ac:dyDescent="0.2">
      <c r="A372" s="43">
        <v>46082</v>
      </c>
      <c r="B372" t="s">
        <v>50</v>
      </c>
      <c r="C372" s="1">
        <v>38001008004</v>
      </c>
      <c r="D372" t="s">
        <v>49</v>
      </c>
      <c r="E372" s="39" t="s">
        <v>148</v>
      </c>
      <c r="F372" s="40">
        <v>1159</v>
      </c>
      <c r="G372" t="s">
        <v>14</v>
      </c>
      <c r="H372" s="40">
        <v>47</v>
      </c>
      <c r="I372" s="40">
        <v>1159</v>
      </c>
      <c r="J372" t="s">
        <v>14</v>
      </c>
      <c r="K372" s="41">
        <v>107.73</v>
      </c>
    </row>
    <row r="373" spans="1:11" x14ac:dyDescent="0.2">
      <c r="A373" s="43">
        <v>46082</v>
      </c>
      <c r="B373" t="s">
        <v>66</v>
      </c>
      <c r="C373" s="1">
        <v>38001011004</v>
      </c>
      <c r="D373" t="s">
        <v>65</v>
      </c>
      <c r="E373" s="39" t="s">
        <v>149</v>
      </c>
      <c r="F373" s="40">
        <v>1159</v>
      </c>
      <c r="G373" t="s">
        <v>14</v>
      </c>
      <c r="H373" s="40">
        <v>47</v>
      </c>
      <c r="I373" s="40">
        <v>1150</v>
      </c>
      <c r="J373" t="s">
        <v>15</v>
      </c>
      <c r="K373" s="41">
        <v>2340</v>
      </c>
    </row>
    <row r="374" spans="1:11" x14ac:dyDescent="0.2">
      <c r="A374" s="43">
        <v>46082</v>
      </c>
      <c r="B374" t="s">
        <v>66</v>
      </c>
      <c r="C374" s="1">
        <v>38001011002</v>
      </c>
      <c r="D374" t="s">
        <v>67</v>
      </c>
      <c r="E374" s="39" t="s">
        <v>150</v>
      </c>
      <c r="F374" s="40">
        <v>1159</v>
      </c>
      <c r="G374" t="s">
        <v>14</v>
      </c>
      <c r="H374" s="40">
        <v>47</v>
      </c>
      <c r="I374" s="40">
        <v>1150</v>
      </c>
      <c r="J374" t="s">
        <v>15</v>
      </c>
      <c r="K374" s="41">
        <v>27328.080000000002</v>
      </c>
    </row>
    <row r="375" spans="1:11" x14ac:dyDescent="0.2">
      <c r="A375" s="43">
        <v>46082</v>
      </c>
      <c r="B375" t="s">
        <v>66</v>
      </c>
      <c r="C375" s="1">
        <v>38001011002</v>
      </c>
      <c r="D375" t="s">
        <v>67</v>
      </c>
      <c r="E375" s="39" t="s">
        <v>151</v>
      </c>
      <c r="F375" s="40">
        <v>1159</v>
      </c>
      <c r="G375" t="s">
        <v>14</v>
      </c>
      <c r="H375" s="40">
        <v>47</v>
      </c>
      <c r="I375" s="40">
        <v>1150</v>
      </c>
      <c r="J375" t="s">
        <v>15</v>
      </c>
      <c r="K375" s="41">
        <v>43926.239999999998</v>
      </c>
    </row>
    <row r="376" spans="1:11" x14ac:dyDescent="0.2">
      <c r="A376" s="43">
        <v>46082</v>
      </c>
      <c r="B376" t="s">
        <v>66</v>
      </c>
      <c r="C376" s="1">
        <v>38001011003</v>
      </c>
      <c r="D376" t="s">
        <v>68</v>
      </c>
      <c r="E376" s="39" t="s">
        <v>152</v>
      </c>
      <c r="F376" s="40">
        <v>1159</v>
      </c>
      <c r="G376" t="s">
        <v>14</v>
      </c>
      <c r="H376" s="40">
        <v>47</v>
      </c>
      <c r="I376" s="40">
        <v>1150</v>
      </c>
      <c r="J376" t="s">
        <v>15</v>
      </c>
      <c r="K376" s="41">
        <v>9500</v>
      </c>
    </row>
    <row r="377" spans="1:11" x14ac:dyDescent="0.2">
      <c r="A377" s="43">
        <v>46082</v>
      </c>
      <c r="B377" t="s">
        <v>66</v>
      </c>
      <c r="C377" s="1">
        <v>38001011004</v>
      </c>
      <c r="D377" t="s">
        <v>65</v>
      </c>
      <c r="E377" s="39" t="s">
        <v>153</v>
      </c>
      <c r="F377" s="40">
        <v>1159</v>
      </c>
      <c r="G377" t="s">
        <v>14</v>
      </c>
      <c r="H377" s="40">
        <v>47</v>
      </c>
      <c r="I377" s="40">
        <v>1150</v>
      </c>
      <c r="J377" t="s">
        <v>15</v>
      </c>
      <c r="K377" s="41">
        <v>200</v>
      </c>
    </row>
    <row r="378" spans="1:11" x14ac:dyDescent="0.2">
      <c r="A378" s="43">
        <v>46082</v>
      </c>
      <c r="B378" t="s">
        <v>66</v>
      </c>
      <c r="C378" s="1">
        <v>38001011004</v>
      </c>
      <c r="D378" t="s">
        <v>65</v>
      </c>
      <c r="E378" s="39" t="s">
        <v>154</v>
      </c>
      <c r="F378" s="40">
        <v>1159</v>
      </c>
      <c r="G378" t="s">
        <v>14</v>
      </c>
      <c r="H378" s="40">
        <v>47</v>
      </c>
      <c r="I378" s="40">
        <v>1150</v>
      </c>
      <c r="J378" t="s">
        <v>15</v>
      </c>
      <c r="K378" s="41">
        <v>4386.76</v>
      </c>
    </row>
    <row r="379" spans="1:11" x14ac:dyDescent="0.2">
      <c r="A379" s="43">
        <v>46082</v>
      </c>
      <c r="B379" t="s">
        <v>66</v>
      </c>
      <c r="C379" s="1">
        <v>38001011003</v>
      </c>
      <c r="D379" t="s">
        <v>68</v>
      </c>
      <c r="E379" s="39" t="s">
        <v>155</v>
      </c>
      <c r="F379" s="40">
        <v>1159</v>
      </c>
      <c r="G379" t="s">
        <v>14</v>
      </c>
      <c r="H379" s="40">
        <v>47</v>
      </c>
      <c r="I379" s="40">
        <v>1160</v>
      </c>
      <c r="J379" t="s">
        <v>13</v>
      </c>
      <c r="K379" s="41">
        <v>3500</v>
      </c>
    </row>
    <row r="380" spans="1:11" x14ac:dyDescent="0.2">
      <c r="A380" s="43">
        <v>46082</v>
      </c>
      <c r="B380" t="s">
        <v>66</v>
      </c>
      <c r="C380" s="1">
        <v>38001011003</v>
      </c>
      <c r="D380" t="s">
        <v>68</v>
      </c>
      <c r="E380" s="39" t="s">
        <v>156</v>
      </c>
      <c r="F380" s="40">
        <v>1159</v>
      </c>
      <c r="G380" t="s">
        <v>14</v>
      </c>
      <c r="H380" s="40">
        <v>47</v>
      </c>
      <c r="I380" s="40">
        <v>1160</v>
      </c>
      <c r="J380" t="s">
        <v>13</v>
      </c>
      <c r="K380" s="41">
        <v>12500</v>
      </c>
    </row>
    <row r="381" spans="1:11" x14ac:dyDescent="0.2">
      <c r="A381" s="43">
        <v>46082</v>
      </c>
      <c r="B381" t="s">
        <v>66</v>
      </c>
      <c r="C381" s="1">
        <v>38001011003</v>
      </c>
      <c r="D381" t="s">
        <v>68</v>
      </c>
      <c r="E381" s="39" t="s">
        <v>157</v>
      </c>
      <c r="F381" s="40">
        <v>1159</v>
      </c>
      <c r="G381" t="s">
        <v>14</v>
      </c>
      <c r="H381" s="40">
        <v>47</v>
      </c>
      <c r="I381" s="40">
        <v>1160</v>
      </c>
      <c r="J381" t="s">
        <v>13</v>
      </c>
      <c r="K381" s="41">
        <v>20000</v>
      </c>
    </row>
    <row r="382" spans="1:11" x14ac:dyDescent="0.2">
      <c r="A382" s="43">
        <v>46082</v>
      </c>
      <c r="B382" t="s">
        <v>125</v>
      </c>
      <c r="C382" s="1">
        <v>38001027007</v>
      </c>
      <c r="D382" t="s">
        <v>126</v>
      </c>
      <c r="E382" s="39" t="s">
        <v>158</v>
      </c>
      <c r="F382" s="40">
        <v>1159</v>
      </c>
      <c r="G382" t="s">
        <v>14</v>
      </c>
      <c r="H382" s="40">
        <v>47</v>
      </c>
      <c r="I382" s="40">
        <v>1150</v>
      </c>
      <c r="J382" t="s">
        <v>15</v>
      </c>
      <c r="K382" s="41">
        <v>470.8</v>
      </c>
    </row>
    <row r="383" spans="1:11" x14ac:dyDescent="0.2">
      <c r="A383" s="43">
        <v>46082</v>
      </c>
      <c r="B383" t="s">
        <v>125</v>
      </c>
      <c r="C383" s="1">
        <v>38001027008</v>
      </c>
      <c r="D383" t="s">
        <v>12</v>
      </c>
      <c r="E383" s="39" t="s">
        <v>158</v>
      </c>
      <c r="F383" s="40">
        <v>1159</v>
      </c>
      <c r="G383" t="s">
        <v>14</v>
      </c>
      <c r="H383" s="40">
        <v>47</v>
      </c>
      <c r="I383" s="40">
        <v>1150</v>
      </c>
      <c r="J383" t="s">
        <v>15</v>
      </c>
      <c r="K383" s="41">
        <v>880</v>
      </c>
    </row>
    <row r="384" spans="1:11" x14ac:dyDescent="0.2">
      <c r="A384" s="43">
        <v>46082</v>
      </c>
      <c r="B384" t="s">
        <v>41</v>
      </c>
      <c r="C384" s="1">
        <v>38001019002</v>
      </c>
      <c r="D384" t="s">
        <v>138</v>
      </c>
      <c r="E384" s="39" t="s">
        <v>137</v>
      </c>
      <c r="F384" s="40">
        <v>1159</v>
      </c>
      <c r="G384" t="s">
        <v>14</v>
      </c>
      <c r="H384" s="40">
        <v>47</v>
      </c>
      <c r="I384" s="40">
        <v>1159</v>
      </c>
      <c r="J384" t="s">
        <v>14</v>
      </c>
      <c r="K384" s="41">
        <v>2963.09</v>
      </c>
    </row>
    <row r="385" spans="1:11" x14ac:dyDescent="0.2">
      <c r="A385" s="43">
        <v>46082</v>
      </c>
      <c r="B385" t="s">
        <v>46</v>
      </c>
      <c r="C385" s="1">
        <v>38001002001</v>
      </c>
      <c r="D385" t="s">
        <v>48</v>
      </c>
      <c r="E385" s="39" t="s">
        <v>159</v>
      </c>
      <c r="F385" s="40">
        <v>1159</v>
      </c>
      <c r="G385" t="s">
        <v>14</v>
      </c>
      <c r="H385" s="40">
        <v>47</v>
      </c>
      <c r="I385" s="40">
        <v>1160</v>
      </c>
      <c r="J385" t="s">
        <v>13</v>
      </c>
      <c r="K385" s="41">
        <v>10.54</v>
      </c>
    </row>
    <row r="386" spans="1:11" x14ac:dyDescent="0.2">
      <c r="A386" s="43">
        <v>46082</v>
      </c>
      <c r="B386" t="s">
        <v>0</v>
      </c>
      <c r="C386" s="1">
        <v>38001001004</v>
      </c>
      <c r="D386" t="s">
        <v>62</v>
      </c>
      <c r="E386" s="39" t="s">
        <v>160</v>
      </c>
      <c r="F386" s="40">
        <v>1159</v>
      </c>
      <c r="G386" t="s">
        <v>14</v>
      </c>
      <c r="H386" s="40">
        <v>47</v>
      </c>
      <c r="I386" s="40">
        <v>1150</v>
      </c>
      <c r="J386" t="s">
        <v>15</v>
      </c>
      <c r="K386" s="41">
        <v>3301.18</v>
      </c>
    </row>
    <row r="387" spans="1:11" x14ac:dyDescent="0.2">
      <c r="A387" s="43">
        <v>46082</v>
      </c>
      <c r="B387" t="s">
        <v>125</v>
      </c>
      <c r="C387" s="1">
        <v>38001027007</v>
      </c>
      <c r="D387" t="s">
        <v>126</v>
      </c>
      <c r="E387" s="39" t="s">
        <v>162</v>
      </c>
      <c r="F387" s="40">
        <v>1159</v>
      </c>
      <c r="G387" t="s">
        <v>14</v>
      </c>
      <c r="H387" s="40">
        <v>47</v>
      </c>
      <c r="I387" s="40">
        <v>1150</v>
      </c>
      <c r="J387" t="s">
        <v>15</v>
      </c>
      <c r="K387" s="41">
        <v>104.81</v>
      </c>
    </row>
    <row r="388" spans="1:11" x14ac:dyDescent="0.2">
      <c r="A388" s="43">
        <v>46082</v>
      </c>
      <c r="B388" t="s">
        <v>125</v>
      </c>
      <c r="C388" s="1">
        <v>38001027007</v>
      </c>
      <c r="D388" t="s">
        <v>126</v>
      </c>
      <c r="E388" s="39" t="s">
        <v>161</v>
      </c>
      <c r="F388" s="40">
        <v>1159</v>
      </c>
      <c r="G388" t="s">
        <v>14</v>
      </c>
      <c r="H388" s="40">
        <v>47</v>
      </c>
      <c r="I388" s="40">
        <v>1150</v>
      </c>
      <c r="J388" t="s">
        <v>15</v>
      </c>
      <c r="K388" s="41">
        <v>468.57</v>
      </c>
    </row>
    <row r="389" spans="1:11" x14ac:dyDescent="0.2">
      <c r="A389" s="43">
        <v>46082</v>
      </c>
      <c r="B389" t="s">
        <v>66</v>
      </c>
      <c r="C389" s="1">
        <v>38001011004</v>
      </c>
      <c r="D389" t="s">
        <v>65</v>
      </c>
      <c r="E389" s="39" t="s">
        <v>163</v>
      </c>
      <c r="F389" s="40">
        <v>1159</v>
      </c>
      <c r="G389" t="s">
        <v>14</v>
      </c>
      <c r="H389" s="40">
        <v>47</v>
      </c>
      <c r="I389" s="40">
        <v>1150</v>
      </c>
      <c r="J389" t="s">
        <v>15</v>
      </c>
      <c r="K389" s="41">
        <v>273.55</v>
      </c>
    </row>
    <row r="390" spans="1:11" x14ac:dyDescent="0.2">
      <c r="A390" s="43">
        <v>46082</v>
      </c>
      <c r="B390" t="s">
        <v>66</v>
      </c>
      <c r="C390" s="1">
        <v>38001011004</v>
      </c>
      <c r="D390" t="s">
        <v>65</v>
      </c>
      <c r="E390" s="39" t="s">
        <v>164</v>
      </c>
      <c r="F390" s="40">
        <v>1159</v>
      </c>
      <c r="G390" t="s">
        <v>14</v>
      </c>
      <c r="H390" s="40">
        <v>47</v>
      </c>
      <c r="I390" s="40">
        <v>1150</v>
      </c>
      <c r="J390" t="s">
        <v>15</v>
      </c>
      <c r="K390" s="41">
        <v>273.55</v>
      </c>
    </row>
    <row r="391" spans="1:11" x14ac:dyDescent="0.2">
      <c r="A391" s="43">
        <v>46082</v>
      </c>
      <c r="B391" t="s">
        <v>66</v>
      </c>
      <c r="C391" s="1">
        <v>38001011004</v>
      </c>
      <c r="D391" t="s">
        <v>65</v>
      </c>
      <c r="E391" s="39" t="s">
        <v>166</v>
      </c>
      <c r="F391" s="40">
        <v>1159</v>
      </c>
      <c r="G391" t="s">
        <v>14</v>
      </c>
      <c r="H391" s="40">
        <v>47</v>
      </c>
      <c r="I391" s="40">
        <v>1150</v>
      </c>
      <c r="J391" t="s">
        <v>15</v>
      </c>
      <c r="K391" s="41">
        <v>273.55</v>
      </c>
    </row>
    <row r="392" spans="1:11" x14ac:dyDescent="0.2">
      <c r="A392" s="43">
        <v>46082</v>
      </c>
      <c r="B392" t="s">
        <v>38</v>
      </c>
      <c r="C392" s="1">
        <v>38001023001</v>
      </c>
      <c r="D392" t="s">
        <v>38</v>
      </c>
      <c r="E392" s="39" t="s">
        <v>168</v>
      </c>
      <c r="F392" s="40">
        <v>1159</v>
      </c>
      <c r="G392" t="s">
        <v>14</v>
      </c>
      <c r="H392" s="40">
        <v>47</v>
      </c>
      <c r="I392" s="40">
        <v>1150</v>
      </c>
      <c r="J392" t="s">
        <v>15</v>
      </c>
      <c r="K392" s="41">
        <v>-4731.3100000000004</v>
      </c>
    </row>
    <row r="393" spans="1:11" x14ac:dyDescent="0.2">
      <c r="A393" s="43">
        <v>46082</v>
      </c>
      <c r="B393" t="s">
        <v>38</v>
      </c>
      <c r="C393" s="1">
        <v>38001023001</v>
      </c>
      <c r="D393" t="s">
        <v>38</v>
      </c>
      <c r="E393" s="39" t="s">
        <v>167</v>
      </c>
      <c r="F393" s="40">
        <v>1159</v>
      </c>
      <c r="G393" t="s">
        <v>14</v>
      </c>
      <c r="H393" s="40">
        <v>47</v>
      </c>
      <c r="I393" s="40">
        <v>1150</v>
      </c>
      <c r="J393" t="s">
        <v>15</v>
      </c>
      <c r="K393" s="41">
        <v>-5749.87</v>
      </c>
    </row>
    <row r="394" spans="1:11" x14ac:dyDescent="0.2">
      <c r="A394" s="43">
        <v>46082</v>
      </c>
      <c r="B394" t="s">
        <v>38</v>
      </c>
      <c r="C394" s="1">
        <v>38001023001</v>
      </c>
      <c r="D394" t="s">
        <v>38</v>
      </c>
      <c r="E394" s="39" t="s">
        <v>169</v>
      </c>
      <c r="F394" s="40">
        <v>1159</v>
      </c>
      <c r="G394" t="s">
        <v>14</v>
      </c>
      <c r="H394" s="40">
        <v>47</v>
      </c>
      <c r="I394" s="40">
        <v>1150</v>
      </c>
      <c r="J394" t="s">
        <v>15</v>
      </c>
      <c r="K394" s="41">
        <v>-38449.78</v>
      </c>
    </row>
    <row r="395" spans="1:11" x14ac:dyDescent="0.2">
      <c r="A395" s="43">
        <v>46082</v>
      </c>
      <c r="B395" t="s">
        <v>38</v>
      </c>
      <c r="C395" s="1">
        <v>38001023001</v>
      </c>
      <c r="D395" t="s">
        <v>38</v>
      </c>
      <c r="E395" s="39" t="s">
        <v>167</v>
      </c>
      <c r="F395" s="40">
        <v>1159</v>
      </c>
      <c r="G395" t="s">
        <v>14</v>
      </c>
      <c r="H395" s="40">
        <v>47</v>
      </c>
      <c r="I395" s="40">
        <v>1159</v>
      </c>
      <c r="J395" t="s">
        <v>14</v>
      </c>
      <c r="K395" s="41">
        <v>-12340.29</v>
      </c>
    </row>
    <row r="396" spans="1:11" x14ac:dyDescent="0.2">
      <c r="A396" s="43">
        <v>46082</v>
      </c>
      <c r="B396" t="s">
        <v>38</v>
      </c>
      <c r="C396" s="1">
        <v>38001023001</v>
      </c>
      <c r="D396" t="s">
        <v>38</v>
      </c>
      <c r="E396" s="39" t="s">
        <v>169</v>
      </c>
      <c r="F396" s="40">
        <v>1159</v>
      </c>
      <c r="G396" t="s">
        <v>14</v>
      </c>
      <c r="H396" s="40">
        <v>47</v>
      </c>
      <c r="I396" s="40">
        <v>1160</v>
      </c>
      <c r="J396" t="s">
        <v>13</v>
      </c>
      <c r="K396" s="41">
        <v>-9452.82</v>
      </c>
    </row>
    <row r="397" spans="1:11" x14ac:dyDescent="0.2">
      <c r="A397" s="43">
        <v>46082</v>
      </c>
      <c r="B397" t="s">
        <v>38</v>
      </c>
      <c r="C397" s="1">
        <v>38001023001</v>
      </c>
      <c r="D397" t="s">
        <v>38</v>
      </c>
      <c r="E397" s="39" t="s">
        <v>168</v>
      </c>
      <c r="F397" s="40">
        <v>1159</v>
      </c>
      <c r="G397" t="s">
        <v>14</v>
      </c>
      <c r="H397" s="40">
        <v>47</v>
      </c>
      <c r="I397" s="40">
        <v>1160</v>
      </c>
      <c r="J397" t="s">
        <v>13</v>
      </c>
      <c r="K397" s="41">
        <v>-10646.76</v>
      </c>
    </row>
    <row r="398" spans="1:11" x14ac:dyDescent="0.2">
      <c r="A398" s="43">
        <v>46082</v>
      </c>
      <c r="B398" t="s">
        <v>132</v>
      </c>
      <c r="C398" s="1">
        <v>38001003004</v>
      </c>
      <c r="D398" t="s">
        <v>43</v>
      </c>
      <c r="E398" s="39" t="s">
        <v>165</v>
      </c>
      <c r="F398" s="40">
        <v>1159</v>
      </c>
      <c r="G398" t="s">
        <v>14</v>
      </c>
      <c r="H398" s="40">
        <v>47</v>
      </c>
      <c r="I398" s="40">
        <v>1150</v>
      </c>
      <c r="J398" t="s">
        <v>15</v>
      </c>
      <c r="K398" s="41">
        <v>298</v>
      </c>
    </row>
    <row r="399" spans="1:11" x14ac:dyDescent="0.2">
      <c r="A399" s="43">
        <v>46082</v>
      </c>
      <c r="B399" t="s">
        <v>132</v>
      </c>
      <c r="C399" s="1">
        <v>38001003004</v>
      </c>
      <c r="D399" t="s">
        <v>43</v>
      </c>
      <c r="E399" s="39" t="s">
        <v>165</v>
      </c>
      <c r="F399" s="40">
        <v>1159</v>
      </c>
      <c r="G399" t="s">
        <v>14</v>
      </c>
      <c r="H399" s="40">
        <v>47</v>
      </c>
      <c r="I399" s="40">
        <v>1160</v>
      </c>
      <c r="J399" t="s">
        <v>13</v>
      </c>
      <c r="K399" s="41">
        <v>55</v>
      </c>
    </row>
    <row r="400" spans="1:11" x14ac:dyDescent="0.2">
      <c r="A400" s="43">
        <v>46082</v>
      </c>
      <c r="B400" t="s">
        <v>66</v>
      </c>
      <c r="C400" s="1">
        <v>38001011004</v>
      </c>
      <c r="D400" t="s">
        <v>65</v>
      </c>
      <c r="E400" s="39" t="s">
        <v>170</v>
      </c>
      <c r="F400" s="40">
        <v>1159</v>
      </c>
      <c r="G400" t="s">
        <v>14</v>
      </c>
      <c r="H400" s="40">
        <v>47</v>
      </c>
      <c r="I400" s="40">
        <v>1150</v>
      </c>
      <c r="J400" t="s">
        <v>15</v>
      </c>
      <c r="K400" s="41">
        <v>3780</v>
      </c>
    </row>
    <row r="401" spans="1:11" x14ac:dyDescent="0.2">
      <c r="A401" s="43">
        <v>46082</v>
      </c>
      <c r="B401" t="s">
        <v>57</v>
      </c>
      <c r="C401" s="1">
        <v>38001018001</v>
      </c>
      <c r="D401" t="s">
        <v>60</v>
      </c>
      <c r="E401" s="39" t="s">
        <v>171</v>
      </c>
      <c r="F401" s="40">
        <v>1159</v>
      </c>
      <c r="G401" t="s">
        <v>14</v>
      </c>
      <c r="H401" s="40">
        <v>47</v>
      </c>
      <c r="I401" s="40">
        <v>1159</v>
      </c>
      <c r="J401" t="s">
        <v>14</v>
      </c>
      <c r="K401" s="41">
        <v>2314.4299999999998</v>
      </c>
    </row>
    <row r="402" spans="1:11" x14ac:dyDescent="0.2">
      <c r="A402" s="43">
        <v>46082</v>
      </c>
      <c r="B402" t="s">
        <v>66</v>
      </c>
      <c r="C402" s="1">
        <v>38001011004</v>
      </c>
      <c r="D402" t="s">
        <v>65</v>
      </c>
      <c r="E402" s="39" t="s">
        <v>172</v>
      </c>
      <c r="F402" s="40">
        <v>1159</v>
      </c>
      <c r="G402" t="s">
        <v>14</v>
      </c>
      <c r="H402" s="40">
        <v>47</v>
      </c>
      <c r="I402" s="40">
        <v>1150</v>
      </c>
      <c r="J402" t="s">
        <v>15</v>
      </c>
      <c r="K402" s="41">
        <v>680</v>
      </c>
    </row>
    <row r="403" spans="1:11" x14ac:dyDescent="0.2">
      <c r="A403" s="43">
        <v>46082</v>
      </c>
      <c r="B403" t="s">
        <v>132</v>
      </c>
      <c r="C403" s="1">
        <v>38001003004</v>
      </c>
      <c r="D403" t="s">
        <v>43</v>
      </c>
      <c r="E403" s="39" t="s">
        <v>173</v>
      </c>
      <c r="F403" s="40">
        <v>1159</v>
      </c>
      <c r="G403" t="s">
        <v>14</v>
      </c>
      <c r="H403" s="40">
        <v>47</v>
      </c>
      <c r="I403" s="40">
        <v>1150</v>
      </c>
      <c r="J403" t="s">
        <v>15</v>
      </c>
      <c r="K403" s="41">
        <v>117</v>
      </c>
    </row>
    <row r="404" spans="1:11" x14ac:dyDescent="0.2">
      <c r="A404" s="43">
        <v>46082</v>
      </c>
      <c r="B404" t="s">
        <v>107</v>
      </c>
      <c r="C404" s="1">
        <v>38001025001</v>
      </c>
      <c r="D404" t="s">
        <v>107</v>
      </c>
      <c r="E404" s="39" t="s">
        <v>176</v>
      </c>
      <c r="F404" s="40">
        <v>1159</v>
      </c>
      <c r="G404" t="s">
        <v>14</v>
      </c>
      <c r="H404" s="40">
        <v>47</v>
      </c>
      <c r="I404" s="40">
        <v>1159</v>
      </c>
      <c r="J404" t="s">
        <v>14</v>
      </c>
      <c r="K404" s="41">
        <v>12540</v>
      </c>
    </row>
    <row r="405" spans="1:11" x14ac:dyDescent="0.2">
      <c r="A405" s="43">
        <v>46082</v>
      </c>
      <c r="B405" t="s">
        <v>66</v>
      </c>
      <c r="C405" s="1">
        <v>38001011003</v>
      </c>
      <c r="D405" t="s">
        <v>68</v>
      </c>
      <c r="E405" s="39" t="s">
        <v>177</v>
      </c>
      <c r="F405" s="40">
        <v>1159</v>
      </c>
      <c r="G405" t="s">
        <v>14</v>
      </c>
      <c r="H405" s="40">
        <v>47</v>
      </c>
      <c r="I405" s="40">
        <v>1150</v>
      </c>
      <c r="J405" t="s">
        <v>15</v>
      </c>
      <c r="K405" s="41">
        <v>500</v>
      </c>
    </row>
    <row r="406" spans="1:11" x14ac:dyDescent="0.2">
      <c r="A406" s="43">
        <v>46082</v>
      </c>
      <c r="B406" t="s">
        <v>66</v>
      </c>
      <c r="C406" s="1">
        <v>38001011002</v>
      </c>
      <c r="D406" t="s">
        <v>67</v>
      </c>
      <c r="E406" s="39" t="s">
        <v>178</v>
      </c>
      <c r="F406" s="40">
        <v>1159</v>
      </c>
      <c r="G406" t="s">
        <v>14</v>
      </c>
      <c r="H406" s="40">
        <v>47</v>
      </c>
      <c r="I406" s="40">
        <v>1160</v>
      </c>
      <c r="J406" t="s">
        <v>13</v>
      </c>
      <c r="K406" s="41">
        <v>5000</v>
      </c>
    </row>
    <row r="407" spans="1:11" x14ac:dyDescent="0.2">
      <c r="A407" s="43">
        <v>46082</v>
      </c>
      <c r="B407" t="s">
        <v>66</v>
      </c>
      <c r="C407" s="1">
        <v>38001011003</v>
      </c>
      <c r="D407" t="s">
        <v>68</v>
      </c>
      <c r="E407" s="39" t="s">
        <v>179</v>
      </c>
      <c r="F407" s="40">
        <v>1159</v>
      </c>
      <c r="G407" t="s">
        <v>14</v>
      </c>
      <c r="H407" s="40">
        <v>47</v>
      </c>
      <c r="I407" s="40">
        <v>1160</v>
      </c>
      <c r="J407" t="s">
        <v>13</v>
      </c>
      <c r="K407" s="41">
        <v>15000</v>
      </c>
    </row>
    <row r="408" spans="1:11" x14ac:dyDescent="0.2">
      <c r="A408" s="43">
        <v>46082</v>
      </c>
      <c r="B408" t="s">
        <v>66</v>
      </c>
      <c r="C408" s="1">
        <v>38001011003</v>
      </c>
      <c r="D408" t="s">
        <v>68</v>
      </c>
      <c r="E408" s="39" t="s">
        <v>180</v>
      </c>
      <c r="F408" s="40">
        <v>1159</v>
      </c>
      <c r="G408" t="s">
        <v>14</v>
      </c>
      <c r="H408" s="40">
        <v>47</v>
      </c>
      <c r="I408" s="40">
        <v>1160</v>
      </c>
      <c r="J408" t="s">
        <v>13</v>
      </c>
      <c r="K408" s="41">
        <v>50000</v>
      </c>
    </row>
    <row r="409" spans="1:11" x14ac:dyDescent="0.2">
      <c r="A409" s="43">
        <v>46082</v>
      </c>
      <c r="B409" t="s">
        <v>46</v>
      </c>
      <c r="C409" s="1">
        <v>38001002001</v>
      </c>
      <c r="D409" t="s">
        <v>48</v>
      </c>
      <c r="E409" s="39" t="s">
        <v>181</v>
      </c>
      <c r="F409" s="40">
        <v>1159</v>
      </c>
      <c r="G409" t="s">
        <v>14</v>
      </c>
      <c r="H409" s="40">
        <v>47</v>
      </c>
      <c r="I409" s="40">
        <v>1160</v>
      </c>
      <c r="J409" t="s">
        <v>13</v>
      </c>
      <c r="K409" s="41">
        <v>318.66000000000003</v>
      </c>
    </row>
    <row r="410" spans="1:11" x14ac:dyDescent="0.2">
      <c r="A410" s="43">
        <v>46082</v>
      </c>
      <c r="B410" t="s">
        <v>46</v>
      </c>
      <c r="C410" s="1">
        <v>38001002001</v>
      </c>
      <c r="D410" t="s">
        <v>48</v>
      </c>
      <c r="E410" s="39" t="s">
        <v>182</v>
      </c>
      <c r="F410" s="40">
        <v>1159</v>
      </c>
      <c r="G410" t="s">
        <v>14</v>
      </c>
      <c r="H410" s="40">
        <v>47</v>
      </c>
      <c r="I410" s="40">
        <v>1160</v>
      </c>
      <c r="J410" t="s">
        <v>13</v>
      </c>
      <c r="K410" s="41">
        <v>12.3</v>
      </c>
    </row>
    <row r="411" spans="1:11" x14ac:dyDescent="0.2">
      <c r="A411" s="43">
        <v>46082</v>
      </c>
      <c r="B411" t="s">
        <v>46</v>
      </c>
      <c r="C411" s="1">
        <v>38001002001</v>
      </c>
      <c r="D411" t="s">
        <v>48</v>
      </c>
      <c r="E411" s="39" t="s">
        <v>183</v>
      </c>
      <c r="F411" s="40">
        <v>1159</v>
      </c>
      <c r="G411" t="s">
        <v>14</v>
      </c>
      <c r="H411" s="40">
        <v>47</v>
      </c>
      <c r="I411" s="40">
        <v>1160</v>
      </c>
      <c r="J411" t="s">
        <v>13</v>
      </c>
      <c r="K411" s="41">
        <v>60</v>
      </c>
    </row>
    <row r="412" spans="1:11" x14ac:dyDescent="0.2">
      <c r="A412" s="43">
        <v>46082</v>
      </c>
      <c r="B412" t="s">
        <v>46</v>
      </c>
      <c r="C412" s="1">
        <v>38001002001</v>
      </c>
      <c r="D412" t="s">
        <v>48</v>
      </c>
      <c r="E412" s="39" t="s">
        <v>184</v>
      </c>
      <c r="F412" s="40">
        <v>1159</v>
      </c>
      <c r="G412" t="s">
        <v>14</v>
      </c>
      <c r="H412" s="40">
        <v>47</v>
      </c>
      <c r="I412" s="40">
        <v>1160</v>
      </c>
      <c r="J412" t="s">
        <v>13</v>
      </c>
      <c r="K412" s="41">
        <v>272.27999999999997</v>
      </c>
    </row>
    <row r="413" spans="1:11" x14ac:dyDescent="0.2">
      <c r="A413" s="43">
        <v>46082</v>
      </c>
      <c r="B413" t="s">
        <v>0</v>
      </c>
      <c r="C413" s="1">
        <v>38001001004</v>
      </c>
      <c r="D413" t="s">
        <v>62</v>
      </c>
      <c r="E413" s="39" t="s">
        <v>185</v>
      </c>
      <c r="F413" s="40">
        <v>1159</v>
      </c>
      <c r="G413" t="s">
        <v>14</v>
      </c>
      <c r="H413" s="40">
        <v>47</v>
      </c>
      <c r="I413" s="40">
        <v>1150</v>
      </c>
      <c r="J413" t="s">
        <v>15</v>
      </c>
      <c r="K413" s="41">
        <v>3722.88</v>
      </c>
    </row>
    <row r="414" spans="1:11" x14ac:dyDescent="0.2">
      <c r="A414" s="43">
        <v>46082</v>
      </c>
      <c r="B414" t="s">
        <v>125</v>
      </c>
      <c r="C414" s="1">
        <v>38001027008</v>
      </c>
      <c r="D414" t="s">
        <v>12</v>
      </c>
      <c r="E414" s="39" t="s">
        <v>190</v>
      </c>
      <c r="F414" s="40">
        <v>1159</v>
      </c>
      <c r="G414" t="s">
        <v>14</v>
      </c>
      <c r="H414" s="40">
        <v>47</v>
      </c>
      <c r="I414" s="40">
        <v>1150</v>
      </c>
      <c r="J414" t="s">
        <v>15</v>
      </c>
      <c r="K414" s="41">
        <v>6800</v>
      </c>
    </row>
    <row r="415" spans="1:11" x14ac:dyDescent="0.2">
      <c r="A415" s="43">
        <v>46082</v>
      </c>
      <c r="B415" t="s">
        <v>125</v>
      </c>
      <c r="C415" s="1">
        <v>38001027008</v>
      </c>
      <c r="D415" t="s">
        <v>12</v>
      </c>
      <c r="E415" s="39" t="s">
        <v>190</v>
      </c>
      <c r="F415" s="40">
        <v>1159</v>
      </c>
      <c r="G415" t="s">
        <v>14</v>
      </c>
      <c r="H415" s="40">
        <v>47</v>
      </c>
      <c r="I415" s="40">
        <v>1159</v>
      </c>
      <c r="J415" t="s">
        <v>14</v>
      </c>
      <c r="K415" s="41">
        <v>1850</v>
      </c>
    </row>
    <row r="416" spans="1:11" x14ac:dyDescent="0.2">
      <c r="A416" s="43">
        <v>46082</v>
      </c>
      <c r="B416" t="s">
        <v>125</v>
      </c>
      <c r="C416" s="1">
        <v>38001027008</v>
      </c>
      <c r="D416" t="s">
        <v>12</v>
      </c>
      <c r="E416" s="39" t="s">
        <v>190</v>
      </c>
      <c r="F416" s="40">
        <v>1159</v>
      </c>
      <c r="G416" t="s">
        <v>14</v>
      </c>
      <c r="H416" s="40">
        <v>47</v>
      </c>
      <c r="I416" s="40">
        <v>1160</v>
      </c>
      <c r="J416" t="s">
        <v>13</v>
      </c>
      <c r="K416" s="41">
        <v>5200</v>
      </c>
    </row>
    <row r="417" spans="1:11" x14ac:dyDescent="0.2">
      <c r="A417" s="43">
        <v>46082</v>
      </c>
      <c r="B417" t="s">
        <v>125</v>
      </c>
      <c r="C417" s="1">
        <v>38001027003</v>
      </c>
      <c r="D417" t="s">
        <v>186</v>
      </c>
      <c r="E417" s="39" t="s">
        <v>187</v>
      </c>
      <c r="F417" s="40">
        <v>1159</v>
      </c>
      <c r="G417" t="s">
        <v>14</v>
      </c>
      <c r="H417" s="40">
        <v>47</v>
      </c>
      <c r="I417" s="40">
        <v>1150</v>
      </c>
      <c r="J417" t="s">
        <v>15</v>
      </c>
      <c r="K417" s="41">
        <v>7422.56</v>
      </c>
    </row>
    <row r="418" spans="1:11" x14ac:dyDescent="0.2">
      <c r="A418" s="43">
        <v>46082</v>
      </c>
      <c r="B418" t="s">
        <v>125</v>
      </c>
      <c r="C418" s="1">
        <v>38001027005</v>
      </c>
      <c r="D418" t="s">
        <v>188</v>
      </c>
      <c r="E418" s="39" t="s">
        <v>189</v>
      </c>
      <c r="F418" s="40">
        <v>1159</v>
      </c>
      <c r="G418" t="s">
        <v>14</v>
      </c>
      <c r="H418" s="40">
        <v>47</v>
      </c>
      <c r="I418" s="40">
        <v>1150</v>
      </c>
      <c r="J418" t="s">
        <v>15</v>
      </c>
      <c r="K418" s="41">
        <v>192.72</v>
      </c>
    </row>
    <row r="419" spans="1:11" x14ac:dyDescent="0.2">
      <c r="A419" s="43">
        <v>46082</v>
      </c>
      <c r="B419" t="s">
        <v>125</v>
      </c>
      <c r="C419" s="1">
        <v>38001027003</v>
      </c>
      <c r="D419" t="s">
        <v>186</v>
      </c>
      <c r="E419" s="39" t="s">
        <v>187</v>
      </c>
      <c r="F419" s="40">
        <v>1159</v>
      </c>
      <c r="G419" t="s">
        <v>14</v>
      </c>
      <c r="H419" s="40">
        <v>47</v>
      </c>
      <c r="I419" s="40">
        <v>1159</v>
      </c>
      <c r="J419" t="s">
        <v>14</v>
      </c>
      <c r="K419" s="41">
        <v>8595.2199999999993</v>
      </c>
    </row>
    <row r="420" spans="1:11" x14ac:dyDescent="0.2">
      <c r="A420" s="43">
        <v>46082</v>
      </c>
      <c r="B420" t="s">
        <v>125</v>
      </c>
      <c r="C420" s="1">
        <v>38001027003</v>
      </c>
      <c r="D420" t="s">
        <v>186</v>
      </c>
      <c r="E420" s="39" t="s">
        <v>187</v>
      </c>
      <c r="F420" s="40">
        <v>1159</v>
      </c>
      <c r="G420" t="s">
        <v>14</v>
      </c>
      <c r="H420" s="40">
        <v>47</v>
      </c>
      <c r="I420" s="40">
        <v>1160</v>
      </c>
      <c r="J420" t="s">
        <v>13</v>
      </c>
      <c r="K420" s="41">
        <v>7854.16</v>
      </c>
    </row>
    <row r="421" spans="1:11" x14ac:dyDescent="0.2">
      <c r="A421" s="43">
        <v>46082</v>
      </c>
      <c r="B421" t="s">
        <v>125</v>
      </c>
      <c r="C421" s="1">
        <v>38001027005</v>
      </c>
      <c r="D421" t="s">
        <v>188</v>
      </c>
      <c r="E421" s="39" t="s">
        <v>189</v>
      </c>
      <c r="F421" s="40">
        <v>1159</v>
      </c>
      <c r="G421" t="s">
        <v>14</v>
      </c>
      <c r="H421" s="40">
        <v>47</v>
      </c>
      <c r="I421" s="40">
        <v>1160</v>
      </c>
      <c r="J421" t="s">
        <v>13</v>
      </c>
      <c r="K421" s="41">
        <v>157.68</v>
      </c>
    </row>
    <row r="422" spans="1:11" x14ac:dyDescent="0.2">
      <c r="A422" s="43">
        <v>46082</v>
      </c>
      <c r="B422" t="s">
        <v>66</v>
      </c>
      <c r="C422" s="1">
        <v>38001011003</v>
      </c>
      <c r="D422" t="s">
        <v>68</v>
      </c>
      <c r="E422" s="39" t="s">
        <v>192</v>
      </c>
      <c r="F422" s="40">
        <v>1159</v>
      </c>
      <c r="G422" t="s">
        <v>14</v>
      </c>
      <c r="H422" s="40">
        <v>47</v>
      </c>
      <c r="I422" s="40">
        <v>1160</v>
      </c>
      <c r="J422" t="s">
        <v>13</v>
      </c>
      <c r="K422" s="41">
        <v>50000</v>
      </c>
    </row>
    <row r="423" spans="1:11" x14ac:dyDescent="0.2">
      <c r="A423" s="43">
        <v>46082</v>
      </c>
      <c r="B423" t="s">
        <v>125</v>
      </c>
      <c r="C423" s="1">
        <v>38001027008</v>
      </c>
      <c r="D423" t="s">
        <v>12</v>
      </c>
      <c r="E423" s="39" t="s">
        <v>191</v>
      </c>
      <c r="F423" s="40">
        <v>1159</v>
      </c>
      <c r="G423" t="s">
        <v>14</v>
      </c>
      <c r="H423" s="40">
        <v>47</v>
      </c>
      <c r="I423" s="40">
        <v>1150</v>
      </c>
      <c r="J423" t="s">
        <v>15</v>
      </c>
      <c r="K423" s="41">
        <v>1500</v>
      </c>
    </row>
    <row r="424" spans="1:11" x14ac:dyDescent="0.2">
      <c r="A424" s="43">
        <v>46082</v>
      </c>
      <c r="B424" t="s">
        <v>125</v>
      </c>
      <c r="C424" s="1">
        <v>38001027008</v>
      </c>
      <c r="D424" t="s">
        <v>12</v>
      </c>
      <c r="E424" s="39" t="s">
        <v>191</v>
      </c>
      <c r="F424" s="40">
        <v>1159</v>
      </c>
      <c r="G424" t="s">
        <v>14</v>
      </c>
      <c r="H424" s="40">
        <v>47</v>
      </c>
      <c r="I424" s="40">
        <v>1160</v>
      </c>
      <c r="J424" t="s">
        <v>13</v>
      </c>
      <c r="K424" s="41">
        <v>1500</v>
      </c>
    </row>
    <row r="425" spans="1:11" x14ac:dyDescent="0.2">
      <c r="A425" s="43">
        <v>46082</v>
      </c>
      <c r="B425" t="s">
        <v>125</v>
      </c>
      <c r="C425" s="1">
        <v>38001027004</v>
      </c>
      <c r="D425" t="s">
        <v>193</v>
      </c>
      <c r="E425" s="39" t="s">
        <v>194</v>
      </c>
      <c r="F425" s="40">
        <v>1159</v>
      </c>
      <c r="G425" t="s">
        <v>14</v>
      </c>
      <c r="H425" s="40">
        <v>47</v>
      </c>
      <c r="I425" s="40">
        <v>1150</v>
      </c>
      <c r="J425" t="s">
        <v>15</v>
      </c>
      <c r="K425" s="41">
        <v>317.45999999999998</v>
      </c>
    </row>
    <row r="426" spans="1:11" x14ac:dyDescent="0.2">
      <c r="A426" s="43">
        <v>46082</v>
      </c>
      <c r="B426" t="s">
        <v>125</v>
      </c>
      <c r="C426" s="1">
        <v>38001027004</v>
      </c>
      <c r="D426" t="s">
        <v>193</v>
      </c>
      <c r="E426" s="39" t="s">
        <v>194</v>
      </c>
      <c r="F426" s="40">
        <v>1159</v>
      </c>
      <c r="G426" t="s">
        <v>14</v>
      </c>
      <c r="H426" s="40">
        <v>47</v>
      </c>
      <c r="I426" s="40">
        <v>1159</v>
      </c>
      <c r="J426" t="s">
        <v>14</v>
      </c>
      <c r="K426" s="41">
        <v>86.58</v>
      </c>
    </row>
    <row r="427" spans="1:11" x14ac:dyDescent="0.2">
      <c r="A427" s="43">
        <v>46082</v>
      </c>
      <c r="B427" t="s">
        <v>125</v>
      </c>
      <c r="C427" s="1">
        <v>38001027004</v>
      </c>
      <c r="D427" t="s">
        <v>193</v>
      </c>
      <c r="E427" s="39" t="s">
        <v>194</v>
      </c>
      <c r="F427" s="40">
        <v>1159</v>
      </c>
      <c r="G427" t="s">
        <v>14</v>
      </c>
      <c r="H427" s="40">
        <v>47</v>
      </c>
      <c r="I427" s="40">
        <v>1160</v>
      </c>
      <c r="J427" t="s">
        <v>13</v>
      </c>
      <c r="K427" s="41">
        <v>404.04</v>
      </c>
    </row>
    <row r="428" spans="1:11" x14ac:dyDescent="0.2">
      <c r="A428" s="43">
        <v>46082</v>
      </c>
      <c r="B428" t="s">
        <v>66</v>
      </c>
      <c r="C428" s="1">
        <v>38001011004</v>
      </c>
      <c r="D428" t="s">
        <v>65</v>
      </c>
      <c r="E428" s="39" t="s">
        <v>195</v>
      </c>
      <c r="F428" s="40">
        <v>1159</v>
      </c>
      <c r="G428" t="s">
        <v>14</v>
      </c>
      <c r="H428" s="40">
        <v>47</v>
      </c>
      <c r="I428" s="40">
        <v>1150</v>
      </c>
      <c r="J428" t="s">
        <v>15</v>
      </c>
      <c r="K428" s="41">
        <v>583.98</v>
      </c>
    </row>
    <row r="429" spans="1:11" x14ac:dyDescent="0.2">
      <c r="A429" s="43">
        <v>46082</v>
      </c>
      <c r="B429" t="s">
        <v>57</v>
      </c>
      <c r="C429" s="1">
        <v>38001018002</v>
      </c>
      <c r="D429" t="s">
        <v>59</v>
      </c>
      <c r="E429" s="39" t="s">
        <v>196</v>
      </c>
      <c r="F429" s="40">
        <v>1159</v>
      </c>
      <c r="G429" t="s">
        <v>14</v>
      </c>
      <c r="H429" s="40">
        <v>47</v>
      </c>
      <c r="I429" s="40">
        <v>1159</v>
      </c>
      <c r="J429" t="s">
        <v>14</v>
      </c>
      <c r="K429" s="41">
        <v>6900</v>
      </c>
    </row>
    <row r="430" spans="1:11" x14ac:dyDescent="0.2">
      <c r="A430" s="43">
        <v>46082</v>
      </c>
      <c r="B430" t="s">
        <v>41</v>
      </c>
      <c r="C430" s="1">
        <v>38001019002</v>
      </c>
      <c r="D430" t="s">
        <v>138</v>
      </c>
      <c r="E430" s="39" t="s">
        <v>197</v>
      </c>
      <c r="F430" s="40">
        <v>1159</v>
      </c>
      <c r="G430" t="s">
        <v>14</v>
      </c>
      <c r="H430" s="40">
        <v>47</v>
      </c>
      <c r="I430" s="40">
        <v>1159</v>
      </c>
      <c r="J430" t="s">
        <v>14</v>
      </c>
      <c r="K430" s="41">
        <v>3631.16</v>
      </c>
    </row>
    <row r="431" spans="1:11" x14ac:dyDescent="0.2">
      <c r="A431" s="43">
        <v>46082</v>
      </c>
      <c r="B431" t="s">
        <v>35</v>
      </c>
      <c r="C431" s="1">
        <v>38001013001</v>
      </c>
      <c r="D431" t="s">
        <v>35</v>
      </c>
      <c r="E431" s="39" t="s">
        <v>175</v>
      </c>
      <c r="F431" s="40">
        <v>1159</v>
      </c>
      <c r="G431" t="s">
        <v>14</v>
      </c>
      <c r="H431" s="40">
        <v>47</v>
      </c>
      <c r="I431" s="40">
        <v>1150</v>
      </c>
      <c r="J431" t="s">
        <v>15</v>
      </c>
      <c r="K431" s="41">
        <v>131.99</v>
      </c>
    </row>
    <row r="432" spans="1:11" x14ac:dyDescent="0.2">
      <c r="A432" s="43">
        <v>46082</v>
      </c>
      <c r="B432" t="s">
        <v>35</v>
      </c>
      <c r="C432" s="1">
        <v>38001013001</v>
      </c>
      <c r="D432" t="s">
        <v>35</v>
      </c>
      <c r="E432" s="39" t="s">
        <v>174</v>
      </c>
      <c r="F432" s="40">
        <v>1159</v>
      </c>
      <c r="G432" t="s">
        <v>14</v>
      </c>
      <c r="H432" s="40">
        <v>47</v>
      </c>
      <c r="I432" s="40">
        <v>1150</v>
      </c>
      <c r="J432" t="s">
        <v>15</v>
      </c>
      <c r="K432" s="41">
        <v>742.9</v>
      </c>
    </row>
    <row r="433" spans="1:11" x14ac:dyDescent="0.2">
      <c r="A433" s="43">
        <v>46082</v>
      </c>
      <c r="B433" t="s">
        <v>35</v>
      </c>
      <c r="C433" s="1">
        <v>38001013001</v>
      </c>
      <c r="D433" t="s">
        <v>35</v>
      </c>
      <c r="E433" s="39" t="s">
        <v>175</v>
      </c>
      <c r="F433" s="40">
        <v>1159</v>
      </c>
      <c r="G433" t="s">
        <v>14</v>
      </c>
      <c r="H433" s="40">
        <v>47</v>
      </c>
      <c r="I433" s="40">
        <v>1159</v>
      </c>
      <c r="J433" t="s">
        <v>14</v>
      </c>
      <c r="K433" s="41">
        <v>124.64</v>
      </c>
    </row>
    <row r="434" spans="1:11" x14ac:dyDescent="0.2">
      <c r="A434" s="43">
        <v>46082</v>
      </c>
      <c r="B434" t="s">
        <v>35</v>
      </c>
      <c r="C434" s="1">
        <v>38001013001</v>
      </c>
      <c r="D434" t="s">
        <v>35</v>
      </c>
      <c r="E434" s="39" t="s">
        <v>174</v>
      </c>
      <c r="F434" s="40">
        <v>1159</v>
      </c>
      <c r="G434" t="s">
        <v>14</v>
      </c>
      <c r="H434" s="40">
        <v>47</v>
      </c>
      <c r="I434" s="40">
        <v>1159</v>
      </c>
      <c r="J434" t="s">
        <v>14</v>
      </c>
      <c r="K434" s="41">
        <v>742.9</v>
      </c>
    </row>
    <row r="435" spans="1:11" x14ac:dyDescent="0.2">
      <c r="A435" s="43">
        <v>46082</v>
      </c>
      <c r="B435" t="s">
        <v>35</v>
      </c>
      <c r="C435" s="1">
        <v>38001013001</v>
      </c>
      <c r="D435" t="s">
        <v>35</v>
      </c>
      <c r="E435" s="39" t="s">
        <v>175</v>
      </c>
      <c r="F435" s="40">
        <v>1159</v>
      </c>
      <c r="G435" t="s">
        <v>14</v>
      </c>
      <c r="H435" s="40">
        <v>47</v>
      </c>
      <c r="I435" s="40">
        <v>1160</v>
      </c>
      <c r="J435" t="s">
        <v>13</v>
      </c>
      <c r="K435" s="41">
        <v>121.09</v>
      </c>
    </row>
    <row r="436" spans="1:11" x14ac:dyDescent="0.2">
      <c r="A436" s="43">
        <v>46082</v>
      </c>
      <c r="B436" t="s">
        <v>35</v>
      </c>
      <c r="C436" s="1">
        <v>38001013001</v>
      </c>
      <c r="D436" t="s">
        <v>35</v>
      </c>
      <c r="E436" s="39" t="s">
        <v>174</v>
      </c>
      <c r="F436" s="40">
        <v>1159</v>
      </c>
      <c r="G436" t="s">
        <v>14</v>
      </c>
      <c r="H436" s="40">
        <v>47</v>
      </c>
      <c r="I436" s="40">
        <v>1160</v>
      </c>
      <c r="J436" t="s">
        <v>13</v>
      </c>
      <c r="K436" s="41">
        <v>742.9</v>
      </c>
    </row>
    <row r="437" spans="1:11" x14ac:dyDescent="0.2">
      <c r="A437" s="43">
        <v>46082</v>
      </c>
      <c r="B437" t="s">
        <v>66</v>
      </c>
      <c r="C437" s="1">
        <v>38001011004</v>
      </c>
      <c r="D437" t="s">
        <v>65</v>
      </c>
      <c r="E437" s="39" t="s">
        <v>198</v>
      </c>
      <c r="F437" s="40">
        <v>1159</v>
      </c>
      <c r="G437" t="s">
        <v>14</v>
      </c>
      <c r="H437" s="40">
        <v>47</v>
      </c>
      <c r="I437" s="40">
        <v>1150</v>
      </c>
      <c r="J437" t="s">
        <v>15</v>
      </c>
      <c r="K437" s="41">
        <v>273.55</v>
      </c>
    </row>
    <row r="438" spans="1:11" x14ac:dyDescent="0.2">
      <c r="A438" s="43">
        <v>46082</v>
      </c>
      <c r="B438" t="s">
        <v>66</v>
      </c>
      <c r="C438" s="1">
        <v>38001011004</v>
      </c>
      <c r="D438" t="s">
        <v>65</v>
      </c>
      <c r="E438" s="39" t="s">
        <v>199</v>
      </c>
      <c r="F438" s="40">
        <v>1159</v>
      </c>
      <c r="G438" t="s">
        <v>14</v>
      </c>
      <c r="H438" s="40">
        <v>47</v>
      </c>
      <c r="I438" s="40">
        <v>1150</v>
      </c>
      <c r="J438" t="s">
        <v>15</v>
      </c>
      <c r="K438" s="41">
        <v>164.05</v>
      </c>
    </row>
    <row r="439" spans="1:11" x14ac:dyDescent="0.2">
      <c r="A439" s="43">
        <v>46082</v>
      </c>
      <c r="B439" t="s">
        <v>41</v>
      </c>
      <c r="C439" s="1">
        <v>38001019004</v>
      </c>
      <c r="D439" t="s">
        <v>40</v>
      </c>
      <c r="E439" s="39" t="s">
        <v>200</v>
      </c>
      <c r="F439" s="40">
        <v>1159</v>
      </c>
      <c r="G439" t="s">
        <v>14</v>
      </c>
      <c r="H439" s="40">
        <v>47</v>
      </c>
      <c r="I439" s="40">
        <v>1159</v>
      </c>
      <c r="J439" t="s">
        <v>14</v>
      </c>
      <c r="K439" s="41">
        <v>293.45</v>
      </c>
    </row>
    <row r="440" spans="1:11" x14ac:dyDescent="0.2">
      <c r="A440" s="43">
        <v>46082</v>
      </c>
      <c r="B440" t="s">
        <v>41</v>
      </c>
      <c r="C440" s="1">
        <v>38001019005</v>
      </c>
      <c r="D440" t="s">
        <v>52</v>
      </c>
      <c r="E440" s="39" t="s">
        <v>201</v>
      </c>
      <c r="F440" s="40">
        <v>1159</v>
      </c>
      <c r="G440" t="s">
        <v>14</v>
      </c>
      <c r="H440" s="40">
        <v>47</v>
      </c>
      <c r="I440" s="40">
        <v>1159</v>
      </c>
      <c r="J440" t="s">
        <v>14</v>
      </c>
      <c r="K440" s="41">
        <v>639.29999999999995</v>
      </c>
    </row>
    <row r="441" spans="1:11" x14ac:dyDescent="0.2">
      <c r="A441" s="43">
        <v>46082</v>
      </c>
      <c r="B441" t="s">
        <v>38</v>
      </c>
      <c r="C441" s="1">
        <v>38001023001</v>
      </c>
      <c r="D441" t="s">
        <v>38</v>
      </c>
      <c r="E441" s="39" t="s">
        <v>202</v>
      </c>
      <c r="F441" s="40">
        <v>1159</v>
      </c>
      <c r="G441" t="s">
        <v>14</v>
      </c>
      <c r="H441" s="40">
        <v>47</v>
      </c>
      <c r="I441" s="40">
        <v>1150</v>
      </c>
      <c r="J441" t="s">
        <v>15</v>
      </c>
      <c r="K441" s="41">
        <v>9177.7099999999991</v>
      </c>
    </row>
    <row r="442" spans="1:11" x14ac:dyDescent="0.2">
      <c r="A442" s="43">
        <v>46082</v>
      </c>
      <c r="B442" t="s">
        <v>38</v>
      </c>
      <c r="C442" s="1">
        <v>38001023001</v>
      </c>
      <c r="D442" t="s">
        <v>38</v>
      </c>
      <c r="E442" s="39" t="s">
        <v>203</v>
      </c>
      <c r="F442" s="40">
        <v>1159</v>
      </c>
      <c r="G442" t="s">
        <v>14</v>
      </c>
      <c r="H442" s="40">
        <v>47</v>
      </c>
      <c r="I442" s="40">
        <v>1159</v>
      </c>
      <c r="J442" t="s">
        <v>14</v>
      </c>
      <c r="K442" s="41">
        <v>6630.06</v>
      </c>
    </row>
    <row r="443" spans="1:11" x14ac:dyDescent="0.2">
      <c r="A443" s="43">
        <v>46082</v>
      </c>
      <c r="B443" t="s">
        <v>107</v>
      </c>
      <c r="C443" s="1">
        <v>38001025001</v>
      </c>
      <c r="D443" t="s">
        <v>107</v>
      </c>
      <c r="E443" s="39" t="s">
        <v>204</v>
      </c>
      <c r="F443" s="40">
        <v>1159</v>
      </c>
      <c r="G443" t="s">
        <v>14</v>
      </c>
      <c r="H443" s="40">
        <v>47</v>
      </c>
      <c r="I443" s="40">
        <v>1150</v>
      </c>
      <c r="J443" t="s">
        <v>15</v>
      </c>
      <c r="K443" s="41">
        <v>5526.21</v>
      </c>
    </row>
    <row r="444" spans="1:11" x14ac:dyDescent="0.2">
      <c r="A444" s="43">
        <v>46082</v>
      </c>
      <c r="B444" t="s">
        <v>107</v>
      </c>
      <c r="C444" s="1">
        <v>38001025001</v>
      </c>
      <c r="D444" t="s">
        <v>107</v>
      </c>
      <c r="E444" s="39" t="s">
        <v>205</v>
      </c>
      <c r="F444" s="40">
        <v>1159</v>
      </c>
      <c r="G444" t="s">
        <v>14</v>
      </c>
      <c r="H444" s="40">
        <v>47</v>
      </c>
      <c r="I444" s="40">
        <v>1159</v>
      </c>
      <c r="J444" t="s">
        <v>14</v>
      </c>
      <c r="K444" s="41">
        <v>4972.55</v>
      </c>
    </row>
    <row r="445" spans="1:11" x14ac:dyDescent="0.2">
      <c r="A445" s="43">
        <v>46082</v>
      </c>
      <c r="B445" t="s">
        <v>107</v>
      </c>
      <c r="C445" s="1">
        <v>38001025001</v>
      </c>
      <c r="D445" t="s">
        <v>107</v>
      </c>
      <c r="E445" s="39" t="s">
        <v>206</v>
      </c>
      <c r="F445" s="40">
        <v>1159</v>
      </c>
      <c r="G445" t="s">
        <v>14</v>
      </c>
      <c r="H445" s="40">
        <v>47</v>
      </c>
      <c r="I445" s="40">
        <v>1160</v>
      </c>
      <c r="J445" t="s">
        <v>13</v>
      </c>
      <c r="K445" s="41">
        <v>5045.59</v>
      </c>
    </row>
    <row r="446" spans="1:11" x14ac:dyDescent="0.2">
      <c r="A446" s="43">
        <v>46082</v>
      </c>
      <c r="B446" t="s">
        <v>35</v>
      </c>
      <c r="C446" s="1">
        <v>38001013002</v>
      </c>
      <c r="D446" t="s">
        <v>34</v>
      </c>
      <c r="E446" s="39" t="s">
        <v>207</v>
      </c>
      <c r="F446" s="40">
        <v>1159</v>
      </c>
      <c r="G446" t="s">
        <v>14</v>
      </c>
      <c r="H446" s="40">
        <v>47</v>
      </c>
      <c r="I446" s="40">
        <v>1150</v>
      </c>
      <c r="J446" t="s">
        <v>15</v>
      </c>
      <c r="K446" s="41">
        <v>1823.18</v>
      </c>
    </row>
    <row r="447" spans="1:11" x14ac:dyDescent="0.2">
      <c r="A447" s="43">
        <v>46082</v>
      </c>
      <c r="B447" t="s">
        <v>35</v>
      </c>
      <c r="C447" s="1">
        <v>38001013002</v>
      </c>
      <c r="D447" t="s">
        <v>34</v>
      </c>
      <c r="E447" s="39" t="s">
        <v>208</v>
      </c>
      <c r="F447" s="40">
        <v>1159</v>
      </c>
      <c r="G447" t="s">
        <v>14</v>
      </c>
      <c r="H447" s="40">
        <v>47</v>
      </c>
      <c r="I447" s="40">
        <v>1150</v>
      </c>
      <c r="J447" t="s">
        <v>15</v>
      </c>
      <c r="K447" s="41">
        <v>3843.03</v>
      </c>
    </row>
    <row r="448" spans="1:11" x14ac:dyDescent="0.2">
      <c r="A448" s="43">
        <v>46082</v>
      </c>
      <c r="B448" t="s">
        <v>35</v>
      </c>
      <c r="C448" s="1">
        <v>38001013002</v>
      </c>
      <c r="D448" t="s">
        <v>34</v>
      </c>
      <c r="E448" s="39" t="s">
        <v>209</v>
      </c>
      <c r="F448" s="40">
        <v>1159</v>
      </c>
      <c r="G448" t="s">
        <v>14</v>
      </c>
      <c r="H448" s="40">
        <v>47</v>
      </c>
      <c r="I448" s="40">
        <v>1159</v>
      </c>
      <c r="J448" t="s">
        <v>14</v>
      </c>
      <c r="K448" s="41">
        <v>1801.64</v>
      </c>
    </row>
    <row r="449" spans="1:11" x14ac:dyDescent="0.2">
      <c r="A449" s="43">
        <v>46082</v>
      </c>
      <c r="B449" t="s">
        <v>35</v>
      </c>
      <c r="C449" s="1">
        <v>38001013002</v>
      </c>
      <c r="D449" t="s">
        <v>34</v>
      </c>
      <c r="E449" s="39" t="s">
        <v>210</v>
      </c>
      <c r="F449" s="40">
        <v>1159</v>
      </c>
      <c r="G449" t="s">
        <v>14</v>
      </c>
      <c r="H449" s="40">
        <v>47</v>
      </c>
      <c r="I449" s="40">
        <v>1159</v>
      </c>
      <c r="J449" t="s">
        <v>14</v>
      </c>
      <c r="K449" s="41">
        <v>3797.62</v>
      </c>
    </row>
    <row r="450" spans="1:11" x14ac:dyDescent="0.2">
      <c r="A450" s="43">
        <v>46082</v>
      </c>
      <c r="B450" t="s">
        <v>35</v>
      </c>
      <c r="C450" s="1">
        <v>38001013002</v>
      </c>
      <c r="D450" t="s">
        <v>34</v>
      </c>
      <c r="E450" s="39" t="s">
        <v>211</v>
      </c>
      <c r="F450" s="40">
        <v>1159</v>
      </c>
      <c r="G450" t="s">
        <v>14</v>
      </c>
      <c r="H450" s="40">
        <v>47</v>
      </c>
      <c r="I450" s="40">
        <v>1160</v>
      </c>
      <c r="J450" t="s">
        <v>13</v>
      </c>
      <c r="K450" s="41">
        <v>1709.09</v>
      </c>
    </row>
    <row r="451" spans="1:11" x14ac:dyDescent="0.2">
      <c r="A451" s="43">
        <v>46082</v>
      </c>
      <c r="B451" t="s">
        <v>35</v>
      </c>
      <c r="C451" s="1">
        <v>38001013002</v>
      </c>
      <c r="D451" t="s">
        <v>34</v>
      </c>
      <c r="E451" s="39" t="s">
        <v>212</v>
      </c>
      <c r="F451" s="40">
        <v>1159</v>
      </c>
      <c r="G451" t="s">
        <v>14</v>
      </c>
      <c r="H451" s="40">
        <v>47</v>
      </c>
      <c r="I451" s="40">
        <v>1160</v>
      </c>
      <c r="J451" t="s">
        <v>13</v>
      </c>
      <c r="K451" s="41">
        <v>3602.53</v>
      </c>
    </row>
    <row r="452" spans="1:11" x14ac:dyDescent="0.2">
      <c r="A452" s="43">
        <v>46082</v>
      </c>
      <c r="B452" t="s">
        <v>38</v>
      </c>
      <c r="C452" s="1">
        <v>38001023001</v>
      </c>
      <c r="D452" t="s">
        <v>38</v>
      </c>
      <c r="E452" s="39" t="s">
        <v>213</v>
      </c>
      <c r="F452" s="40">
        <v>1159</v>
      </c>
      <c r="G452" t="s">
        <v>14</v>
      </c>
      <c r="H452" s="40">
        <v>47</v>
      </c>
      <c r="I452" s="40">
        <v>1160</v>
      </c>
      <c r="J452" t="s">
        <v>13</v>
      </c>
      <c r="K452" s="41">
        <v>6727.41</v>
      </c>
    </row>
    <row r="453" spans="1:11" x14ac:dyDescent="0.2">
      <c r="A453" s="43">
        <v>46082</v>
      </c>
      <c r="B453" t="s">
        <v>35</v>
      </c>
      <c r="C453" s="1">
        <v>38001013001</v>
      </c>
      <c r="D453" t="s">
        <v>35</v>
      </c>
      <c r="E453" s="39" t="s">
        <v>214</v>
      </c>
      <c r="F453" s="40">
        <v>1159</v>
      </c>
      <c r="G453" t="s">
        <v>14</v>
      </c>
      <c r="H453" s="40">
        <v>47</v>
      </c>
      <c r="I453" s="40">
        <v>1150</v>
      </c>
      <c r="J453" t="s">
        <v>15</v>
      </c>
      <c r="K453" s="41">
        <v>0.67</v>
      </c>
    </row>
    <row r="454" spans="1:11" x14ac:dyDescent="0.2">
      <c r="A454" s="43">
        <v>46082</v>
      </c>
      <c r="B454" t="s">
        <v>35</v>
      </c>
      <c r="C454" s="1">
        <v>38001013001</v>
      </c>
      <c r="D454" t="s">
        <v>35</v>
      </c>
      <c r="E454" s="39" t="s">
        <v>215</v>
      </c>
      <c r="F454" s="40">
        <v>1159</v>
      </c>
      <c r="G454" t="s">
        <v>14</v>
      </c>
      <c r="H454" s="40">
        <v>47</v>
      </c>
      <c r="I454" s="40">
        <v>1150</v>
      </c>
      <c r="J454" t="s">
        <v>15</v>
      </c>
      <c r="K454" s="41">
        <v>66144.14</v>
      </c>
    </row>
    <row r="455" spans="1:11" x14ac:dyDescent="0.2">
      <c r="A455" s="43">
        <v>46082</v>
      </c>
      <c r="B455" t="s">
        <v>35</v>
      </c>
      <c r="C455" s="1">
        <v>38001013001</v>
      </c>
      <c r="D455" t="s">
        <v>35</v>
      </c>
      <c r="E455" s="39" t="s">
        <v>216</v>
      </c>
      <c r="F455" s="40">
        <v>1159</v>
      </c>
      <c r="G455" t="s">
        <v>14</v>
      </c>
      <c r="H455" s="40">
        <v>47</v>
      </c>
      <c r="I455" s="40">
        <v>1150</v>
      </c>
      <c r="J455" t="s">
        <v>15</v>
      </c>
      <c r="K455" s="41">
        <v>-0.67</v>
      </c>
    </row>
    <row r="456" spans="1:11" x14ac:dyDescent="0.2">
      <c r="A456" s="43">
        <v>46082</v>
      </c>
      <c r="B456" t="s">
        <v>35</v>
      </c>
      <c r="C456" s="1">
        <v>38001013001</v>
      </c>
      <c r="D456" t="s">
        <v>35</v>
      </c>
      <c r="E456" s="39" t="s">
        <v>217</v>
      </c>
      <c r="F456" s="40">
        <v>1159</v>
      </c>
      <c r="G456" t="s">
        <v>14</v>
      </c>
      <c r="H456" s="40">
        <v>47</v>
      </c>
      <c r="I456" s="40">
        <v>1159</v>
      </c>
      <c r="J456" t="s">
        <v>14</v>
      </c>
      <c r="K456" s="41">
        <v>42253.39</v>
      </c>
    </row>
    <row r="457" spans="1:11" x14ac:dyDescent="0.2">
      <c r="A457" s="43">
        <v>46082</v>
      </c>
      <c r="B457" t="s">
        <v>35</v>
      </c>
      <c r="C457" s="1">
        <v>38001013001</v>
      </c>
      <c r="D457" t="s">
        <v>35</v>
      </c>
      <c r="E457" s="39" t="s">
        <v>218</v>
      </c>
      <c r="F457" s="40">
        <v>1159</v>
      </c>
      <c r="G457" t="s">
        <v>14</v>
      </c>
      <c r="H457" s="40">
        <v>47</v>
      </c>
      <c r="I457" s="40">
        <v>1160</v>
      </c>
      <c r="J457" t="s">
        <v>13</v>
      </c>
      <c r="K457" s="41">
        <v>55849.49</v>
      </c>
    </row>
    <row r="458" spans="1:11" x14ac:dyDescent="0.2">
      <c r="A458" s="43">
        <v>46082</v>
      </c>
      <c r="B458" t="s">
        <v>57</v>
      </c>
      <c r="C458" s="1">
        <v>38001018002</v>
      </c>
      <c r="D458" t="s">
        <v>59</v>
      </c>
      <c r="E458" s="39" t="s">
        <v>196</v>
      </c>
      <c r="F458" s="40">
        <v>1159</v>
      </c>
      <c r="G458" t="s">
        <v>14</v>
      </c>
      <c r="H458" s="40">
        <v>47</v>
      </c>
      <c r="I458" s="40">
        <v>1159</v>
      </c>
      <c r="J458" t="s">
        <v>14</v>
      </c>
      <c r="K458" s="41">
        <v>-10981.37</v>
      </c>
    </row>
    <row r="459" spans="1:11" x14ac:dyDescent="0.2">
      <c r="A459" s="43">
        <v>46082</v>
      </c>
      <c r="B459" t="s">
        <v>57</v>
      </c>
      <c r="C459" s="1">
        <v>38001018002</v>
      </c>
      <c r="D459" t="s">
        <v>59</v>
      </c>
      <c r="E459" s="39" t="s">
        <v>219</v>
      </c>
      <c r="F459" s="40">
        <v>1159</v>
      </c>
      <c r="G459" t="s">
        <v>14</v>
      </c>
      <c r="H459" s="40">
        <v>47</v>
      </c>
      <c r="I459" s="40">
        <v>1159</v>
      </c>
      <c r="J459" t="s">
        <v>14</v>
      </c>
      <c r="K459" s="41">
        <v>9779.6</v>
      </c>
    </row>
    <row r="460" spans="1:11" x14ac:dyDescent="0.2">
      <c r="A460" s="43">
        <v>46082</v>
      </c>
      <c r="B460" t="s">
        <v>38</v>
      </c>
      <c r="C460" s="1">
        <v>38001023001</v>
      </c>
      <c r="D460" t="s">
        <v>38</v>
      </c>
      <c r="E460" s="39" t="s">
        <v>220</v>
      </c>
      <c r="F460" s="40">
        <v>1159</v>
      </c>
      <c r="G460" t="s">
        <v>14</v>
      </c>
      <c r="H460" s="40">
        <v>47</v>
      </c>
      <c r="I460" s="40">
        <v>1150</v>
      </c>
      <c r="J460" t="s">
        <v>15</v>
      </c>
      <c r="K460" s="41">
        <v>-4096.84</v>
      </c>
    </row>
    <row r="461" spans="1:11" x14ac:dyDescent="0.2">
      <c r="A461" s="43">
        <v>46082</v>
      </c>
      <c r="B461" t="s">
        <v>107</v>
      </c>
      <c r="C461" s="1">
        <v>38001025001</v>
      </c>
      <c r="D461" t="s">
        <v>107</v>
      </c>
      <c r="E461" s="39" t="s">
        <v>221</v>
      </c>
      <c r="F461" s="40">
        <v>1159</v>
      </c>
      <c r="G461" t="s">
        <v>14</v>
      </c>
      <c r="H461" s="40">
        <v>47</v>
      </c>
      <c r="I461" s="40">
        <v>1159</v>
      </c>
      <c r="J461" t="s">
        <v>14</v>
      </c>
      <c r="K461" s="41">
        <v>13062.88</v>
      </c>
    </row>
    <row r="462" spans="1:11" x14ac:dyDescent="0.2">
      <c r="A462" s="43">
        <v>46082</v>
      </c>
      <c r="B462" t="s">
        <v>35</v>
      </c>
      <c r="C462" s="1">
        <v>38001013004</v>
      </c>
      <c r="D462" t="s">
        <v>33</v>
      </c>
      <c r="E462" s="39" t="s">
        <v>222</v>
      </c>
      <c r="F462" s="40">
        <v>1159</v>
      </c>
      <c r="G462" t="s">
        <v>14</v>
      </c>
      <c r="H462" s="40">
        <v>47</v>
      </c>
      <c r="I462" s="40">
        <v>1159</v>
      </c>
      <c r="J462" t="s">
        <v>14</v>
      </c>
      <c r="K462" s="41">
        <v>5238.08</v>
      </c>
    </row>
    <row r="463" spans="1:11" x14ac:dyDescent="0.2">
      <c r="A463" s="43">
        <v>46082</v>
      </c>
      <c r="B463" t="s">
        <v>35</v>
      </c>
      <c r="C463" s="1">
        <v>38001013004</v>
      </c>
      <c r="D463" t="s">
        <v>33</v>
      </c>
      <c r="E463" s="39" t="s">
        <v>223</v>
      </c>
      <c r="F463" s="40">
        <v>1159</v>
      </c>
      <c r="G463" t="s">
        <v>14</v>
      </c>
      <c r="H463" s="40">
        <v>47</v>
      </c>
      <c r="I463" s="40">
        <v>1160</v>
      </c>
      <c r="J463" t="s">
        <v>13</v>
      </c>
      <c r="K463" s="41">
        <v>4968.99</v>
      </c>
    </row>
    <row r="464" spans="1:11" x14ac:dyDescent="0.2">
      <c r="A464" s="43">
        <v>46082</v>
      </c>
      <c r="B464" t="s">
        <v>35</v>
      </c>
      <c r="C464" s="1">
        <v>38001013004</v>
      </c>
      <c r="D464" t="s">
        <v>33</v>
      </c>
      <c r="E464" s="39" t="s">
        <v>224</v>
      </c>
      <c r="F464" s="40">
        <v>1159</v>
      </c>
      <c r="G464" t="s">
        <v>14</v>
      </c>
      <c r="H464" s="40">
        <v>47</v>
      </c>
      <c r="I464" s="40">
        <v>1150</v>
      </c>
      <c r="J464" t="s">
        <v>15</v>
      </c>
      <c r="K464" s="41">
        <v>5300.68</v>
      </c>
    </row>
    <row r="465" spans="1:11" x14ac:dyDescent="0.2">
      <c r="A465" s="43">
        <v>46082</v>
      </c>
      <c r="B465" t="s">
        <v>66</v>
      </c>
      <c r="C465">
        <v>38001011004</v>
      </c>
      <c r="D465" t="s">
        <v>65</v>
      </c>
      <c r="E465" t="s">
        <v>225</v>
      </c>
      <c r="F465" s="42">
        <v>1159</v>
      </c>
      <c r="G465" t="s">
        <v>14</v>
      </c>
      <c r="H465" s="42">
        <v>47</v>
      </c>
      <c r="I465" s="42">
        <v>1150</v>
      </c>
      <c r="J465" t="s">
        <v>15</v>
      </c>
      <c r="K465">
        <v>38.97</v>
      </c>
    </row>
    <row r="466" spans="1:11" x14ac:dyDescent="0.2">
      <c r="A466" s="43">
        <v>46082</v>
      </c>
      <c r="B466" t="s">
        <v>66</v>
      </c>
      <c r="C466">
        <v>38001011004</v>
      </c>
      <c r="D466" t="s">
        <v>65</v>
      </c>
      <c r="E466" t="s">
        <v>226</v>
      </c>
      <c r="F466" s="42">
        <v>1159</v>
      </c>
      <c r="G466" t="s">
        <v>14</v>
      </c>
      <c r="H466" s="42">
        <v>47</v>
      </c>
      <c r="I466" s="42">
        <v>1150</v>
      </c>
      <c r="J466" t="s">
        <v>15</v>
      </c>
      <c r="K466">
        <v>12.32</v>
      </c>
    </row>
    <row r="467" spans="1:11" x14ac:dyDescent="0.2">
      <c r="A467" s="43">
        <v>46082</v>
      </c>
      <c r="B467" t="s">
        <v>72</v>
      </c>
      <c r="C467">
        <v>38001022001</v>
      </c>
      <c r="D467" t="s">
        <v>74</v>
      </c>
      <c r="E467" t="s">
        <v>227</v>
      </c>
      <c r="F467" s="42">
        <v>1000</v>
      </c>
      <c r="G467" t="s">
        <v>70</v>
      </c>
      <c r="H467" s="42">
        <v>51</v>
      </c>
      <c r="I467" s="42">
        <v>1003</v>
      </c>
      <c r="J467" t="s">
        <v>72</v>
      </c>
      <c r="K467" s="2">
        <v>40443.85</v>
      </c>
    </row>
    <row r="468" spans="1:11" x14ac:dyDescent="0.2">
      <c r="A468" s="43">
        <v>46082</v>
      </c>
      <c r="B468" t="s">
        <v>72</v>
      </c>
      <c r="C468">
        <v>38001022002</v>
      </c>
      <c r="D468" t="s">
        <v>71</v>
      </c>
      <c r="E468" t="s">
        <v>228</v>
      </c>
      <c r="F468" s="42">
        <v>1000</v>
      </c>
      <c r="G468" t="s">
        <v>70</v>
      </c>
      <c r="H468" s="42">
        <v>51</v>
      </c>
      <c r="I468" s="42">
        <v>1003</v>
      </c>
      <c r="J468" t="s">
        <v>72</v>
      </c>
      <c r="K468">
        <v>3008.42</v>
      </c>
    </row>
    <row r="469" spans="1:11" x14ac:dyDescent="0.2">
      <c r="A469" s="43">
        <v>46113</v>
      </c>
      <c r="B469" t="s">
        <v>57</v>
      </c>
      <c r="C469" s="40">
        <v>38001018002</v>
      </c>
      <c r="D469" t="s">
        <v>59</v>
      </c>
      <c r="E469" s="39" t="s">
        <v>229</v>
      </c>
      <c r="F469" s="1">
        <v>1159</v>
      </c>
      <c r="G469" t="s">
        <v>14</v>
      </c>
      <c r="H469" s="1">
        <v>47</v>
      </c>
      <c r="I469" s="1">
        <v>1159</v>
      </c>
      <c r="J469" t="s">
        <v>14</v>
      </c>
      <c r="K469" s="41">
        <v>2405</v>
      </c>
    </row>
    <row r="470" spans="1:11" x14ac:dyDescent="0.2">
      <c r="A470" s="43">
        <v>46113</v>
      </c>
      <c r="B470" t="s">
        <v>66</v>
      </c>
      <c r="C470" s="40">
        <v>38001011004</v>
      </c>
      <c r="D470" t="s">
        <v>65</v>
      </c>
      <c r="E470" s="39" t="s">
        <v>231</v>
      </c>
      <c r="F470" s="1">
        <v>1159</v>
      </c>
      <c r="G470" t="s">
        <v>14</v>
      </c>
      <c r="H470" s="1">
        <v>47</v>
      </c>
      <c r="I470" s="1">
        <v>1150</v>
      </c>
      <c r="J470" t="s">
        <v>15</v>
      </c>
      <c r="K470" s="41">
        <v>29.77</v>
      </c>
    </row>
    <row r="471" spans="1:11" x14ac:dyDescent="0.2">
      <c r="A471" s="43">
        <v>46113</v>
      </c>
      <c r="B471" t="s">
        <v>66</v>
      </c>
      <c r="C471" s="40">
        <v>38001011002</v>
      </c>
      <c r="D471" t="s">
        <v>67</v>
      </c>
      <c r="E471" s="39" t="s">
        <v>235</v>
      </c>
      <c r="F471" s="1">
        <v>1159</v>
      </c>
      <c r="G471" t="s">
        <v>14</v>
      </c>
      <c r="H471" s="1">
        <v>47</v>
      </c>
      <c r="I471" s="1">
        <v>1160</v>
      </c>
      <c r="J471" t="s">
        <v>13</v>
      </c>
      <c r="K471" s="41">
        <v>5000</v>
      </c>
    </row>
    <row r="472" spans="1:11" x14ac:dyDescent="0.2">
      <c r="A472" s="43">
        <v>46113</v>
      </c>
      <c r="B472" t="s">
        <v>41</v>
      </c>
      <c r="C472" s="40">
        <v>38001019002</v>
      </c>
      <c r="D472" t="s">
        <v>138</v>
      </c>
      <c r="E472" s="39" t="s">
        <v>236</v>
      </c>
      <c r="F472" s="1">
        <v>1159</v>
      </c>
      <c r="G472" t="s">
        <v>14</v>
      </c>
      <c r="H472" s="1">
        <v>47</v>
      </c>
      <c r="I472" s="1">
        <v>1159</v>
      </c>
      <c r="J472" t="s">
        <v>14</v>
      </c>
      <c r="K472" s="41">
        <v>6859.84</v>
      </c>
    </row>
    <row r="473" spans="1:11" x14ac:dyDescent="0.2">
      <c r="A473" s="43">
        <v>46113</v>
      </c>
      <c r="B473" t="s">
        <v>66</v>
      </c>
      <c r="C473" s="40">
        <v>38001011003</v>
      </c>
      <c r="D473" t="s">
        <v>68</v>
      </c>
      <c r="E473" s="39" t="s">
        <v>237</v>
      </c>
      <c r="F473" s="1">
        <v>1159</v>
      </c>
      <c r="G473" t="s">
        <v>14</v>
      </c>
      <c r="H473" s="1">
        <v>47</v>
      </c>
      <c r="I473" s="1">
        <v>1150</v>
      </c>
      <c r="J473" t="s">
        <v>15</v>
      </c>
      <c r="K473" s="41">
        <v>1126.99</v>
      </c>
    </row>
    <row r="474" spans="1:11" x14ac:dyDescent="0.2">
      <c r="A474" s="43">
        <v>46113</v>
      </c>
      <c r="B474" t="s">
        <v>66</v>
      </c>
      <c r="C474" s="40">
        <v>38001011004</v>
      </c>
      <c r="D474" t="s">
        <v>65</v>
      </c>
      <c r="E474" s="39" t="s">
        <v>238</v>
      </c>
      <c r="F474" s="1">
        <v>1159</v>
      </c>
      <c r="G474" t="s">
        <v>14</v>
      </c>
      <c r="H474" s="1">
        <v>47</v>
      </c>
      <c r="I474" s="1">
        <v>1150</v>
      </c>
      <c r="J474" t="s">
        <v>15</v>
      </c>
      <c r="K474" s="41">
        <v>6480</v>
      </c>
    </row>
    <row r="475" spans="1:11" x14ac:dyDescent="0.2">
      <c r="A475" s="43">
        <v>46113</v>
      </c>
      <c r="B475" t="s">
        <v>66</v>
      </c>
      <c r="C475" s="40">
        <v>38001011004</v>
      </c>
      <c r="D475" t="s">
        <v>65</v>
      </c>
      <c r="E475" s="39" t="s">
        <v>239</v>
      </c>
      <c r="F475" s="1">
        <v>1159</v>
      </c>
      <c r="G475" t="s">
        <v>14</v>
      </c>
      <c r="H475" s="1">
        <v>47</v>
      </c>
      <c r="I475" s="1">
        <v>1150</v>
      </c>
      <c r="J475" t="s">
        <v>15</v>
      </c>
      <c r="K475" s="41">
        <v>200</v>
      </c>
    </row>
    <row r="476" spans="1:11" x14ac:dyDescent="0.2">
      <c r="A476" s="43">
        <v>46113</v>
      </c>
      <c r="B476" t="s">
        <v>66</v>
      </c>
      <c r="C476" s="40">
        <v>38001011004</v>
      </c>
      <c r="D476" t="s">
        <v>65</v>
      </c>
      <c r="E476" s="39" t="s">
        <v>240</v>
      </c>
      <c r="F476" s="1">
        <v>1159</v>
      </c>
      <c r="G476" t="s">
        <v>14</v>
      </c>
      <c r="H476" s="1">
        <v>47</v>
      </c>
      <c r="I476" s="1">
        <v>1150</v>
      </c>
      <c r="J476" t="s">
        <v>15</v>
      </c>
      <c r="K476" s="41">
        <v>583.98</v>
      </c>
    </row>
    <row r="477" spans="1:11" x14ac:dyDescent="0.2">
      <c r="A477" s="43">
        <v>46113</v>
      </c>
      <c r="B477" t="s">
        <v>41</v>
      </c>
      <c r="C477" s="40">
        <v>38001019001</v>
      </c>
      <c r="D477" t="s">
        <v>55</v>
      </c>
      <c r="E477" s="39" t="s">
        <v>230</v>
      </c>
      <c r="F477" s="1">
        <v>1159</v>
      </c>
      <c r="G477" t="s">
        <v>14</v>
      </c>
      <c r="H477" s="1">
        <v>47</v>
      </c>
      <c r="I477" s="1">
        <v>1159</v>
      </c>
      <c r="J477" t="s">
        <v>14</v>
      </c>
      <c r="K477" s="41">
        <v>4.9400000000000004</v>
      </c>
    </row>
    <row r="478" spans="1:11" x14ac:dyDescent="0.2">
      <c r="A478" s="43">
        <v>46113</v>
      </c>
      <c r="B478" t="s">
        <v>41</v>
      </c>
      <c r="C478" s="40">
        <v>38001019002</v>
      </c>
      <c r="D478" t="s">
        <v>138</v>
      </c>
      <c r="E478" s="39" t="s">
        <v>230</v>
      </c>
      <c r="F478" s="1">
        <v>1159</v>
      </c>
      <c r="G478" t="s">
        <v>14</v>
      </c>
      <c r="H478" s="1">
        <v>47</v>
      </c>
      <c r="I478" s="1">
        <v>1159</v>
      </c>
      <c r="J478" t="s">
        <v>14</v>
      </c>
      <c r="K478" s="41">
        <v>4.9400000000000004</v>
      </c>
    </row>
    <row r="479" spans="1:11" x14ac:dyDescent="0.2">
      <c r="A479" s="43">
        <v>46113</v>
      </c>
      <c r="B479" t="s">
        <v>66</v>
      </c>
      <c r="C479" s="40">
        <v>38001011002</v>
      </c>
      <c r="D479" t="s">
        <v>67</v>
      </c>
      <c r="E479" s="39" t="s">
        <v>241</v>
      </c>
      <c r="F479" s="1">
        <v>1159</v>
      </c>
      <c r="G479" t="s">
        <v>14</v>
      </c>
      <c r="H479" s="1">
        <v>47</v>
      </c>
      <c r="I479" s="1">
        <v>1150</v>
      </c>
      <c r="J479" t="s">
        <v>15</v>
      </c>
      <c r="K479" s="41">
        <v>57456</v>
      </c>
    </row>
    <row r="480" spans="1:11" x14ac:dyDescent="0.2">
      <c r="A480" s="43">
        <v>46113</v>
      </c>
      <c r="B480" t="s">
        <v>66</v>
      </c>
      <c r="C480" s="40">
        <v>38001011003</v>
      </c>
      <c r="D480" t="s">
        <v>68</v>
      </c>
      <c r="E480" s="39" t="s">
        <v>242</v>
      </c>
      <c r="F480" s="1">
        <v>1159</v>
      </c>
      <c r="G480" t="s">
        <v>14</v>
      </c>
      <c r="H480" s="1">
        <v>47</v>
      </c>
      <c r="I480" s="1">
        <v>1150</v>
      </c>
      <c r="J480" t="s">
        <v>15</v>
      </c>
      <c r="K480" s="41">
        <v>1500</v>
      </c>
    </row>
    <row r="481" spans="1:11" x14ac:dyDescent="0.2">
      <c r="A481" s="43">
        <v>46113</v>
      </c>
      <c r="B481" t="s">
        <v>11</v>
      </c>
      <c r="C481" s="40">
        <v>38001004001</v>
      </c>
      <c r="D481" t="s">
        <v>11</v>
      </c>
      <c r="E481" s="39" t="s">
        <v>243</v>
      </c>
      <c r="F481" s="1">
        <v>1159</v>
      </c>
      <c r="G481" t="s">
        <v>14</v>
      </c>
      <c r="H481" s="1">
        <v>47</v>
      </c>
      <c r="I481" s="1">
        <v>1159</v>
      </c>
      <c r="J481" t="s">
        <v>14</v>
      </c>
      <c r="K481" s="41">
        <v>38703.93</v>
      </c>
    </row>
    <row r="482" spans="1:11" x14ac:dyDescent="0.2">
      <c r="A482" s="43">
        <v>46113</v>
      </c>
      <c r="B482" t="s">
        <v>11</v>
      </c>
      <c r="C482" s="40">
        <v>38001004001</v>
      </c>
      <c r="D482" t="s">
        <v>11</v>
      </c>
      <c r="E482" s="39" t="s">
        <v>243</v>
      </c>
      <c r="F482" s="1">
        <v>1159</v>
      </c>
      <c r="G482" t="s">
        <v>14</v>
      </c>
      <c r="H482" s="1">
        <v>47</v>
      </c>
      <c r="I482" s="1">
        <v>1160</v>
      </c>
      <c r="J482" t="s">
        <v>13</v>
      </c>
      <c r="K482" s="41">
        <v>14404.93</v>
      </c>
    </row>
    <row r="483" spans="1:11" x14ac:dyDescent="0.2">
      <c r="A483" s="43">
        <v>46113</v>
      </c>
      <c r="B483" t="s">
        <v>11</v>
      </c>
      <c r="C483" s="40">
        <v>38001004001</v>
      </c>
      <c r="D483" t="s">
        <v>11</v>
      </c>
      <c r="E483" s="39" t="s">
        <v>243</v>
      </c>
      <c r="F483" s="1">
        <v>1159</v>
      </c>
      <c r="G483" t="s">
        <v>14</v>
      </c>
      <c r="H483" s="1">
        <v>47</v>
      </c>
      <c r="I483" s="1">
        <v>1150</v>
      </c>
      <c r="J483" t="s">
        <v>15</v>
      </c>
      <c r="K483" s="41">
        <v>14847.25</v>
      </c>
    </row>
    <row r="484" spans="1:11" x14ac:dyDescent="0.2">
      <c r="A484" s="43">
        <v>46113</v>
      </c>
      <c r="B484" t="s">
        <v>41</v>
      </c>
      <c r="C484" s="40">
        <v>38001019004</v>
      </c>
      <c r="D484" t="s">
        <v>40</v>
      </c>
      <c r="E484" s="39" t="s">
        <v>245</v>
      </c>
      <c r="F484" s="1">
        <v>1159</v>
      </c>
      <c r="G484" t="s">
        <v>14</v>
      </c>
      <c r="H484" s="1">
        <v>47</v>
      </c>
      <c r="I484" s="1">
        <v>1159</v>
      </c>
      <c r="J484" t="s">
        <v>14</v>
      </c>
      <c r="K484" s="41">
        <v>205</v>
      </c>
    </row>
    <row r="485" spans="1:11" x14ac:dyDescent="0.2">
      <c r="A485" s="43">
        <v>46113</v>
      </c>
      <c r="B485" t="s">
        <v>66</v>
      </c>
      <c r="C485" s="40">
        <v>38001011004</v>
      </c>
      <c r="D485" t="s">
        <v>65</v>
      </c>
      <c r="E485" s="39" t="s">
        <v>246</v>
      </c>
      <c r="F485" s="1">
        <v>1159</v>
      </c>
      <c r="G485" t="s">
        <v>14</v>
      </c>
      <c r="H485" s="1">
        <v>47</v>
      </c>
      <c r="I485" s="1">
        <v>1150</v>
      </c>
      <c r="J485" t="s">
        <v>15</v>
      </c>
      <c r="K485" s="41">
        <v>273.55</v>
      </c>
    </row>
    <row r="486" spans="1:11" x14ac:dyDescent="0.2">
      <c r="A486" s="43">
        <v>46113</v>
      </c>
      <c r="B486" t="s">
        <v>66</v>
      </c>
      <c r="C486" s="40">
        <v>38001011004</v>
      </c>
      <c r="D486" t="s">
        <v>65</v>
      </c>
      <c r="E486" s="39" t="s">
        <v>247</v>
      </c>
      <c r="F486" s="1">
        <v>1159</v>
      </c>
      <c r="G486" t="s">
        <v>14</v>
      </c>
      <c r="H486" s="1">
        <v>47</v>
      </c>
      <c r="I486" s="1">
        <v>1159</v>
      </c>
      <c r="J486" t="s">
        <v>14</v>
      </c>
      <c r="K486" s="41">
        <v>186.9</v>
      </c>
    </row>
    <row r="487" spans="1:11" x14ac:dyDescent="0.2">
      <c r="A487" s="43">
        <v>46113</v>
      </c>
      <c r="B487" t="s">
        <v>66</v>
      </c>
      <c r="C487" s="40">
        <v>38001011004</v>
      </c>
      <c r="D487" t="s">
        <v>65</v>
      </c>
      <c r="E487" s="39" t="s">
        <v>248</v>
      </c>
      <c r="F487" s="1">
        <v>1159</v>
      </c>
      <c r="G487" t="s">
        <v>14</v>
      </c>
      <c r="H487" s="1">
        <v>47</v>
      </c>
      <c r="I487" s="1">
        <v>1150</v>
      </c>
      <c r="J487" t="s">
        <v>15</v>
      </c>
      <c r="K487" s="41">
        <v>37361.46</v>
      </c>
    </row>
    <row r="488" spans="1:11" x14ac:dyDescent="0.2">
      <c r="A488" s="43">
        <v>46113</v>
      </c>
      <c r="B488" t="s">
        <v>57</v>
      </c>
      <c r="C488" s="40">
        <v>38001018002</v>
      </c>
      <c r="D488" t="s">
        <v>59</v>
      </c>
      <c r="E488" s="39" t="s">
        <v>230</v>
      </c>
      <c r="F488" s="1">
        <v>1159</v>
      </c>
      <c r="G488" t="s">
        <v>14</v>
      </c>
      <c r="H488" s="1">
        <v>47</v>
      </c>
      <c r="I488" s="1">
        <v>1159</v>
      </c>
      <c r="J488" t="s">
        <v>14</v>
      </c>
      <c r="K488" s="41">
        <v>204.27</v>
      </c>
    </row>
    <row r="489" spans="1:11" x14ac:dyDescent="0.2">
      <c r="A489" s="43">
        <v>46113</v>
      </c>
      <c r="B489" t="s">
        <v>66</v>
      </c>
      <c r="C489" s="40">
        <v>38001011002</v>
      </c>
      <c r="D489" t="s">
        <v>67</v>
      </c>
      <c r="E489" s="39" t="s">
        <v>249</v>
      </c>
      <c r="F489" s="1">
        <v>1159</v>
      </c>
      <c r="G489" t="s">
        <v>14</v>
      </c>
      <c r="H489" s="1">
        <v>47</v>
      </c>
      <c r="I489" s="1">
        <v>1150</v>
      </c>
      <c r="J489" t="s">
        <v>15</v>
      </c>
      <c r="K489" s="41">
        <v>32320.71</v>
      </c>
    </row>
    <row r="490" spans="1:11" x14ac:dyDescent="0.2">
      <c r="A490" s="43">
        <v>46113</v>
      </c>
      <c r="B490" t="s">
        <v>66</v>
      </c>
      <c r="C490" s="40">
        <v>38001011002</v>
      </c>
      <c r="D490" t="s">
        <v>67</v>
      </c>
      <c r="E490" s="39" t="s">
        <v>250</v>
      </c>
      <c r="F490" s="1">
        <v>1159</v>
      </c>
      <c r="G490" t="s">
        <v>14</v>
      </c>
      <c r="H490" s="1">
        <v>47</v>
      </c>
      <c r="I490" s="1">
        <v>1150</v>
      </c>
      <c r="J490" t="s">
        <v>15</v>
      </c>
      <c r="K490" s="41">
        <v>43926.239999999998</v>
      </c>
    </row>
    <row r="491" spans="1:11" x14ac:dyDescent="0.2">
      <c r="A491" s="43">
        <v>46113</v>
      </c>
      <c r="B491" t="s">
        <v>125</v>
      </c>
      <c r="C491" s="40">
        <v>38001027008</v>
      </c>
      <c r="D491" t="s">
        <v>12</v>
      </c>
      <c r="E491" s="39" t="s">
        <v>251</v>
      </c>
      <c r="F491" s="1">
        <v>1159</v>
      </c>
      <c r="G491" t="s">
        <v>14</v>
      </c>
      <c r="H491" s="1">
        <v>47</v>
      </c>
      <c r="I491" s="1">
        <v>1150</v>
      </c>
      <c r="J491" t="s">
        <v>15</v>
      </c>
      <c r="K491" s="41">
        <v>440</v>
      </c>
    </row>
    <row r="492" spans="1:11" x14ac:dyDescent="0.2">
      <c r="A492" s="43">
        <v>46113</v>
      </c>
      <c r="B492" t="s">
        <v>125</v>
      </c>
      <c r="C492" s="40">
        <v>38001027007</v>
      </c>
      <c r="D492" t="s">
        <v>126</v>
      </c>
      <c r="E492" s="39" t="s">
        <v>234</v>
      </c>
      <c r="F492" s="1">
        <v>1159</v>
      </c>
      <c r="G492" t="s">
        <v>14</v>
      </c>
      <c r="H492" s="1">
        <v>47</v>
      </c>
      <c r="I492" s="1">
        <v>1150</v>
      </c>
      <c r="J492" t="s">
        <v>15</v>
      </c>
      <c r="K492" s="41">
        <v>187.6</v>
      </c>
    </row>
    <row r="493" spans="1:11" x14ac:dyDescent="0.2">
      <c r="A493" s="43">
        <v>46113</v>
      </c>
      <c r="B493" t="s">
        <v>125</v>
      </c>
      <c r="C493" s="40">
        <v>38001027007</v>
      </c>
      <c r="D493" t="s">
        <v>126</v>
      </c>
      <c r="E493" s="39" t="s">
        <v>233</v>
      </c>
      <c r="F493" s="1">
        <v>1159</v>
      </c>
      <c r="G493" t="s">
        <v>14</v>
      </c>
      <c r="H493" s="1">
        <v>47</v>
      </c>
      <c r="I493" s="1">
        <v>1150</v>
      </c>
      <c r="J493" t="s">
        <v>15</v>
      </c>
      <c r="K493" s="41">
        <v>805.68</v>
      </c>
    </row>
    <row r="494" spans="1:11" x14ac:dyDescent="0.2">
      <c r="A494" s="43">
        <v>46113</v>
      </c>
      <c r="B494" t="s">
        <v>125</v>
      </c>
      <c r="C494" s="40">
        <v>38001027005</v>
      </c>
      <c r="D494" t="s">
        <v>188</v>
      </c>
      <c r="E494" s="39" t="s">
        <v>244</v>
      </c>
      <c r="F494" s="1">
        <v>1159</v>
      </c>
      <c r="G494" t="s">
        <v>14</v>
      </c>
      <c r="H494" s="1">
        <v>47</v>
      </c>
      <c r="I494" s="1">
        <v>1150</v>
      </c>
      <c r="J494" t="s">
        <v>15</v>
      </c>
      <c r="K494" s="41">
        <v>192.72</v>
      </c>
    </row>
    <row r="495" spans="1:11" x14ac:dyDescent="0.2">
      <c r="A495" s="43">
        <v>46113</v>
      </c>
      <c r="B495" t="s">
        <v>125</v>
      </c>
      <c r="C495" s="40">
        <v>38001027005</v>
      </c>
      <c r="D495" t="s">
        <v>188</v>
      </c>
      <c r="E495" s="39" t="s">
        <v>244</v>
      </c>
      <c r="F495" s="1">
        <v>1159</v>
      </c>
      <c r="G495" t="s">
        <v>14</v>
      </c>
      <c r="H495" s="1">
        <v>47</v>
      </c>
      <c r="I495" s="1">
        <v>1160</v>
      </c>
      <c r="J495" t="s">
        <v>13</v>
      </c>
      <c r="K495" s="41">
        <v>157.68</v>
      </c>
    </row>
    <row r="496" spans="1:11" x14ac:dyDescent="0.2">
      <c r="A496" s="43">
        <v>46113</v>
      </c>
      <c r="B496" t="s">
        <v>41</v>
      </c>
      <c r="C496" s="40">
        <v>38001019001</v>
      </c>
      <c r="D496" t="s">
        <v>55</v>
      </c>
      <c r="E496" s="39" t="s">
        <v>252</v>
      </c>
      <c r="F496" s="1">
        <v>1159</v>
      </c>
      <c r="G496" t="s">
        <v>14</v>
      </c>
      <c r="H496" s="1">
        <v>47</v>
      </c>
      <c r="I496" s="1">
        <v>1159</v>
      </c>
      <c r="J496" t="s">
        <v>14</v>
      </c>
      <c r="K496" s="41">
        <v>863.48</v>
      </c>
    </row>
    <row r="497" spans="1:11" x14ac:dyDescent="0.2">
      <c r="A497" s="43">
        <v>46113</v>
      </c>
      <c r="B497" t="s">
        <v>66</v>
      </c>
      <c r="C497" s="40">
        <v>38001011004</v>
      </c>
      <c r="D497" t="s">
        <v>65</v>
      </c>
      <c r="E497" s="39" t="s">
        <v>254</v>
      </c>
      <c r="F497" s="1">
        <v>1159</v>
      </c>
      <c r="G497" t="s">
        <v>14</v>
      </c>
      <c r="H497" s="1">
        <v>47</v>
      </c>
      <c r="I497" s="1">
        <v>1150</v>
      </c>
      <c r="J497" t="s">
        <v>15</v>
      </c>
      <c r="K497" s="41">
        <v>273.55</v>
      </c>
    </row>
    <row r="498" spans="1:11" x14ac:dyDescent="0.2">
      <c r="A498" s="43">
        <v>46113</v>
      </c>
      <c r="B498" t="s">
        <v>66</v>
      </c>
      <c r="C498" s="40">
        <v>38001011004</v>
      </c>
      <c r="D498" t="s">
        <v>65</v>
      </c>
      <c r="E498" s="39" t="s">
        <v>255</v>
      </c>
      <c r="F498" s="1">
        <v>1159</v>
      </c>
      <c r="G498" t="s">
        <v>14</v>
      </c>
      <c r="H498" s="1">
        <v>47</v>
      </c>
      <c r="I498" s="1">
        <v>1150</v>
      </c>
      <c r="J498" t="s">
        <v>15</v>
      </c>
      <c r="K498" s="41">
        <v>273.55</v>
      </c>
    </row>
    <row r="499" spans="1:11" x14ac:dyDescent="0.2">
      <c r="A499" s="43">
        <v>46113</v>
      </c>
      <c r="B499" t="s">
        <v>57</v>
      </c>
      <c r="C499" s="40">
        <v>38001018007</v>
      </c>
      <c r="D499" t="s">
        <v>56</v>
      </c>
      <c r="E499" s="39" t="s">
        <v>256</v>
      </c>
      <c r="F499" s="1">
        <v>1159</v>
      </c>
      <c r="G499" t="s">
        <v>14</v>
      </c>
      <c r="H499" s="1">
        <v>47</v>
      </c>
      <c r="I499" s="1">
        <v>1159</v>
      </c>
      <c r="J499" t="s">
        <v>14</v>
      </c>
      <c r="K499" s="41">
        <v>879.94</v>
      </c>
    </row>
    <row r="500" spans="1:11" x14ac:dyDescent="0.2">
      <c r="A500" s="43">
        <v>46113</v>
      </c>
      <c r="B500" t="s">
        <v>57</v>
      </c>
      <c r="C500" s="40">
        <v>38001018001</v>
      </c>
      <c r="D500" t="s">
        <v>60</v>
      </c>
      <c r="E500" s="39" t="s">
        <v>257</v>
      </c>
      <c r="F500" s="1">
        <v>1159</v>
      </c>
      <c r="G500" t="s">
        <v>14</v>
      </c>
      <c r="H500" s="1">
        <v>47</v>
      </c>
      <c r="I500" s="1">
        <v>1159</v>
      </c>
      <c r="J500" t="s">
        <v>14</v>
      </c>
      <c r="K500" s="41">
        <v>2539.2399999999998</v>
      </c>
    </row>
    <row r="501" spans="1:11" x14ac:dyDescent="0.2">
      <c r="A501" s="43">
        <v>46113</v>
      </c>
      <c r="B501" t="s">
        <v>46</v>
      </c>
      <c r="C501" s="40">
        <v>38001002001</v>
      </c>
      <c r="D501" t="s">
        <v>48</v>
      </c>
      <c r="E501" s="39" t="s">
        <v>259</v>
      </c>
      <c r="F501" s="1">
        <v>1159</v>
      </c>
      <c r="G501" t="s">
        <v>14</v>
      </c>
      <c r="H501" s="1">
        <v>47</v>
      </c>
      <c r="I501" s="1">
        <v>1160</v>
      </c>
      <c r="J501" t="s">
        <v>13</v>
      </c>
      <c r="K501" s="41">
        <v>46.88</v>
      </c>
    </row>
    <row r="502" spans="1:11" x14ac:dyDescent="0.2">
      <c r="A502" s="43">
        <v>46113</v>
      </c>
      <c r="B502" t="s">
        <v>50</v>
      </c>
      <c r="C502" s="40">
        <v>38001008004</v>
      </c>
      <c r="D502" t="s">
        <v>49</v>
      </c>
      <c r="E502" s="39" t="s">
        <v>260</v>
      </c>
      <c r="F502" s="1">
        <v>1159</v>
      </c>
      <c r="G502" t="s">
        <v>14</v>
      </c>
      <c r="H502" s="1">
        <v>47</v>
      </c>
      <c r="I502" s="1">
        <v>1159</v>
      </c>
      <c r="J502" t="s">
        <v>14</v>
      </c>
      <c r="K502" s="41">
        <v>255.43</v>
      </c>
    </row>
    <row r="503" spans="1:11" x14ac:dyDescent="0.2">
      <c r="A503" s="43">
        <v>46113</v>
      </c>
      <c r="B503" t="s">
        <v>50</v>
      </c>
      <c r="C503" s="40">
        <v>38001008004</v>
      </c>
      <c r="D503" t="s">
        <v>49</v>
      </c>
      <c r="E503" s="39" t="s">
        <v>261</v>
      </c>
      <c r="F503" s="1">
        <v>1159</v>
      </c>
      <c r="G503" t="s">
        <v>14</v>
      </c>
      <c r="H503" s="1">
        <v>47</v>
      </c>
      <c r="I503" s="1">
        <v>1159</v>
      </c>
      <c r="J503" t="s">
        <v>14</v>
      </c>
      <c r="K503" s="41">
        <v>3601.67</v>
      </c>
    </row>
    <row r="504" spans="1:11" x14ac:dyDescent="0.2">
      <c r="A504" s="43">
        <v>46113</v>
      </c>
      <c r="B504" t="s">
        <v>66</v>
      </c>
      <c r="C504" s="40">
        <v>38001011004</v>
      </c>
      <c r="D504" t="s">
        <v>65</v>
      </c>
      <c r="E504" s="39" t="s">
        <v>262</v>
      </c>
      <c r="F504" s="1">
        <v>1159</v>
      </c>
      <c r="G504" t="s">
        <v>14</v>
      </c>
      <c r="H504" s="1">
        <v>47</v>
      </c>
      <c r="I504" s="1">
        <v>1150</v>
      </c>
      <c r="J504" t="s">
        <v>15</v>
      </c>
      <c r="K504" s="41">
        <v>273.55</v>
      </c>
    </row>
    <row r="505" spans="1:11" x14ac:dyDescent="0.2">
      <c r="A505" s="43">
        <v>46113</v>
      </c>
      <c r="B505" t="s">
        <v>66</v>
      </c>
      <c r="C505" s="40">
        <v>38001011004</v>
      </c>
      <c r="D505" t="s">
        <v>65</v>
      </c>
      <c r="E505" s="39" t="s">
        <v>263</v>
      </c>
      <c r="F505" s="1">
        <v>1159</v>
      </c>
      <c r="G505" t="s">
        <v>14</v>
      </c>
      <c r="H505" s="1">
        <v>47</v>
      </c>
      <c r="I505" s="1">
        <v>1150</v>
      </c>
      <c r="J505" t="s">
        <v>15</v>
      </c>
      <c r="K505" s="41">
        <v>583.98</v>
      </c>
    </row>
    <row r="506" spans="1:11" x14ac:dyDescent="0.2">
      <c r="A506" s="43">
        <v>46113</v>
      </c>
      <c r="B506" t="s">
        <v>125</v>
      </c>
      <c r="C506" s="40">
        <v>38001027008</v>
      </c>
      <c r="D506" t="s">
        <v>12</v>
      </c>
      <c r="E506" s="39" t="s">
        <v>232</v>
      </c>
      <c r="F506" s="1">
        <v>1159</v>
      </c>
      <c r="G506" t="s">
        <v>14</v>
      </c>
      <c r="H506" s="1">
        <v>47</v>
      </c>
      <c r="I506" s="1">
        <v>1150</v>
      </c>
      <c r="J506" t="s">
        <v>15</v>
      </c>
      <c r="K506" s="41">
        <v>6800</v>
      </c>
    </row>
    <row r="507" spans="1:11" x14ac:dyDescent="0.2">
      <c r="A507" s="43">
        <v>46113</v>
      </c>
      <c r="B507" t="s">
        <v>125</v>
      </c>
      <c r="C507" s="40">
        <v>38001027008</v>
      </c>
      <c r="D507" t="s">
        <v>12</v>
      </c>
      <c r="E507" s="39" t="s">
        <v>232</v>
      </c>
      <c r="F507" s="1">
        <v>1159</v>
      </c>
      <c r="G507" t="s">
        <v>14</v>
      </c>
      <c r="H507" s="1">
        <v>47</v>
      </c>
      <c r="I507" s="1">
        <v>1159</v>
      </c>
      <c r="J507" t="s">
        <v>14</v>
      </c>
      <c r="K507" s="41">
        <v>1850</v>
      </c>
    </row>
    <row r="508" spans="1:11" x14ac:dyDescent="0.2">
      <c r="A508" s="43">
        <v>46113</v>
      </c>
      <c r="B508" t="s">
        <v>125</v>
      </c>
      <c r="C508" s="40">
        <v>38001027008</v>
      </c>
      <c r="D508" t="s">
        <v>12</v>
      </c>
      <c r="E508" s="39" t="s">
        <v>232</v>
      </c>
      <c r="F508" s="1">
        <v>1159</v>
      </c>
      <c r="G508" t="s">
        <v>14</v>
      </c>
      <c r="H508" s="1">
        <v>47</v>
      </c>
      <c r="I508" s="1">
        <v>1160</v>
      </c>
      <c r="J508" t="s">
        <v>13</v>
      </c>
      <c r="K508" s="41">
        <v>5200</v>
      </c>
    </row>
    <row r="509" spans="1:11" x14ac:dyDescent="0.2">
      <c r="A509" s="43">
        <v>46113</v>
      </c>
      <c r="B509" t="s">
        <v>107</v>
      </c>
      <c r="C509" s="40">
        <v>38001025001</v>
      </c>
      <c r="D509" t="s">
        <v>107</v>
      </c>
      <c r="E509" s="39" t="s">
        <v>266</v>
      </c>
      <c r="F509" s="1">
        <v>1159</v>
      </c>
      <c r="G509" t="s">
        <v>14</v>
      </c>
      <c r="H509" s="1">
        <v>47</v>
      </c>
      <c r="I509" s="1">
        <v>1150</v>
      </c>
      <c r="J509" t="s">
        <v>15</v>
      </c>
      <c r="K509" s="41">
        <v>6730.17</v>
      </c>
    </row>
    <row r="510" spans="1:11" x14ac:dyDescent="0.2">
      <c r="A510" s="43">
        <v>46113</v>
      </c>
      <c r="B510" t="s">
        <v>107</v>
      </c>
      <c r="C510" s="40">
        <v>38001025001</v>
      </c>
      <c r="D510" t="s">
        <v>107</v>
      </c>
      <c r="E510" s="39" t="s">
        <v>267</v>
      </c>
      <c r="F510" s="1">
        <v>1159</v>
      </c>
      <c r="G510" t="s">
        <v>14</v>
      </c>
      <c r="H510" s="1">
        <v>47</v>
      </c>
      <c r="I510" s="1">
        <v>1159</v>
      </c>
      <c r="J510" t="s">
        <v>14</v>
      </c>
      <c r="K510" s="41">
        <v>6739.53</v>
      </c>
    </row>
    <row r="511" spans="1:11" x14ac:dyDescent="0.2">
      <c r="A511" s="43">
        <v>46113</v>
      </c>
      <c r="B511" t="s">
        <v>107</v>
      </c>
      <c r="C511" s="40">
        <v>38001025001</v>
      </c>
      <c r="D511" t="s">
        <v>107</v>
      </c>
      <c r="E511" s="39" t="s">
        <v>268</v>
      </c>
      <c r="F511" s="1">
        <v>1159</v>
      </c>
      <c r="G511" t="s">
        <v>14</v>
      </c>
      <c r="H511" s="1">
        <v>47</v>
      </c>
      <c r="I511" s="1">
        <v>1160</v>
      </c>
      <c r="J511" t="s">
        <v>13</v>
      </c>
      <c r="K511" s="41">
        <v>5045.58</v>
      </c>
    </row>
    <row r="512" spans="1:11" x14ac:dyDescent="0.2">
      <c r="A512" s="43">
        <v>46113</v>
      </c>
      <c r="B512" t="s">
        <v>125</v>
      </c>
      <c r="C512" s="40">
        <v>38001027003</v>
      </c>
      <c r="D512" t="s">
        <v>186</v>
      </c>
      <c r="E512" s="39" t="s">
        <v>270</v>
      </c>
      <c r="F512" s="1">
        <v>1159</v>
      </c>
      <c r="G512" t="s">
        <v>14</v>
      </c>
      <c r="H512" s="1">
        <v>47</v>
      </c>
      <c r="I512" s="1">
        <v>1150</v>
      </c>
      <c r="J512" t="s">
        <v>15</v>
      </c>
      <c r="K512" s="41">
        <v>14491.66</v>
      </c>
    </row>
    <row r="513" spans="1:11" x14ac:dyDescent="0.2">
      <c r="A513" s="43">
        <v>46113</v>
      </c>
      <c r="B513" t="s">
        <v>125</v>
      </c>
      <c r="C513" s="40">
        <v>38001027003</v>
      </c>
      <c r="D513" t="s">
        <v>186</v>
      </c>
      <c r="E513" s="39" t="s">
        <v>270</v>
      </c>
      <c r="F513" s="1">
        <v>1159</v>
      </c>
      <c r="G513" t="s">
        <v>14</v>
      </c>
      <c r="H513" s="1">
        <v>47</v>
      </c>
      <c r="I513" s="1">
        <v>1159</v>
      </c>
      <c r="J513" t="s">
        <v>14</v>
      </c>
      <c r="K513" s="41">
        <v>3923.2</v>
      </c>
    </row>
    <row r="514" spans="1:11" x14ac:dyDescent="0.2">
      <c r="A514" s="43">
        <v>46113</v>
      </c>
      <c r="B514" t="s">
        <v>125</v>
      </c>
      <c r="C514" s="40">
        <v>38001027003</v>
      </c>
      <c r="D514" t="s">
        <v>186</v>
      </c>
      <c r="E514" s="39" t="s">
        <v>270</v>
      </c>
      <c r="F514" s="1">
        <v>1159</v>
      </c>
      <c r="G514" t="s">
        <v>14</v>
      </c>
      <c r="H514" s="1">
        <v>47</v>
      </c>
      <c r="I514" s="1">
        <v>1160</v>
      </c>
      <c r="J514" t="s">
        <v>13</v>
      </c>
      <c r="K514" s="41">
        <v>5896.44</v>
      </c>
    </row>
    <row r="515" spans="1:11" x14ac:dyDescent="0.2">
      <c r="A515" s="43">
        <v>46113</v>
      </c>
      <c r="B515" t="s">
        <v>35</v>
      </c>
      <c r="C515" s="40">
        <v>38001013002</v>
      </c>
      <c r="D515" t="s">
        <v>34</v>
      </c>
      <c r="E515" s="39" t="s">
        <v>271</v>
      </c>
      <c r="F515" s="1">
        <v>1159</v>
      </c>
      <c r="G515" t="s">
        <v>14</v>
      </c>
      <c r="H515" s="1">
        <v>47</v>
      </c>
      <c r="I515" s="1">
        <v>1159</v>
      </c>
      <c r="J515" t="s">
        <v>14</v>
      </c>
      <c r="K515" s="41">
        <v>1860.58</v>
      </c>
    </row>
    <row r="516" spans="1:11" x14ac:dyDescent="0.2">
      <c r="A516" s="43">
        <v>46113</v>
      </c>
      <c r="B516" t="s">
        <v>35</v>
      </c>
      <c r="C516" s="40">
        <v>38001013002</v>
      </c>
      <c r="D516" t="s">
        <v>34</v>
      </c>
      <c r="E516" s="39" t="s">
        <v>272</v>
      </c>
      <c r="F516" s="1">
        <v>1159</v>
      </c>
      <c r="G516" t="s">
        <v>14</v>
      </c>
      <c r="H516" s="1">
        <v>47</v>
      </c>
      <c r="I516" s="1">
        <v>1159</v>
      </c>
      <c r="J516" t="s">
        <v>14</v>
      </c>
      <c r="K516" s="41">
        <v>3921.87</v>
      </c>
    </row>
    <row r="517" spans="1:11" x14ac:dyDescent="0.2">
      <c r="A517" s="43">
        <v>46113</v>
      </c>
      <c r="B517" t="s">
        <v>35</v>
      </c>
      <c r="C517" s="40">
        <v>38001013002</v>
      </c>
      <c r="D517" t="s">
        <v>34</v>
      </c>
      <c r="E517" s="39" t="s">
        <v>273</v>
      </c>
      <c r="F517" s="1">
        <v>1159</v>
      </c>
      <c r="G517" t="s">
        <v>14</v>
      </c>
      <c r="H517" s="1">
        <v>47</v>
      </c>
      <c r="I517" s="1">
        <v>1160</v>
      </c>
      <c r="J517" t="s">
        <v>13</v>
      </c>
      <c r="K517" s="41">
        <v>1693.41</v>
      </c>
    </row>
    <row r="518" spans="1:11" x14ac:dyDescent="0.2">
      <c r="A518" s="43">
        <v>46113</v>
      </c>
      <c r="B518" t="s">
        <v>35</v>
      </c>
      <c r="C518" s="40">
        <v>38001013002</v>
      </c>
      <c r="D518" t="s">
        <v>34</v>
      </c>
      <c r="E518" s="39" t="s">
        <v>274</v>
      </c>
      <c r="F518" s="1">
        <v>1159</v>
      </c>
      <c r="G518" t="s">
        <v>14</v>
      </c>
      <c r="H518" s="1">
        <v>47</v>
      </c>
      <c r="I518" s="1">
        <v>1160</v>
      </c>
      <c r="J518" t="s">
        <v>13</v>
      </c>
      <c r="K518" s="41">
        <v>3569.47</v>
      </c>
    </row>
    <row r="519" spans="1:11" x14ac:dyDescent="0.2">
      <c r="A519" s="43">
        <v>46113</v>
      </c>
      <c r="B519" t="s">
        <v>125</v>
      </c>
      <c r="C519" s="40">
        <v>38001027004</v>
      </c>
      <c r="D519" t="s">
        <v>193</v>
      </c>
      <c r="E519" s="39" t="s">
        <v>265</v>
      </c>
      <c r="F519" s="1">
        <v>1159</v>
      </c>
      <c r="G519" t="s">
        <v>14</v>
      </c>
      <c r="H519" s="1">
        <v>47</v>
      </c>
      <c r="I519" s="1">
        <v>1150</v>
      </c>
      <c r="J519" t="s">
        <v>15</v>
      </c>
      <c r="K519" s="41">
        <v>317.45999999999998</v>
      </c>
    </row>
    <row r="520" spans="1:11" x14ac:dyDescent="0.2">
      <c r="A520" s="43">
        <v>46113</v>
      </c>
      <c r="B520" t="s">
        <v>125</v>
      </c>
      <c r="C520" s="40">
        <v>38001027004</v>
      </c>
      <c r="D520" t="s">
        <v>193</v>
      </c>
      <c r="E520" s="39" t="s">
        <v>265</v>
      </c>
      <c r="F520" s="1">
        <v>1159</v>
      </c>
      <c r="G520" t="s">
        <v>14</v>
      </c>
      <c r="H520" s="1">
        <v>47</v>
      </c>
      <c r="I520" s="1">
        <v>1159</v>
      </c>
      <c r="J520" t="s">
        <v>14</v>
      </c>
      <c r="K520" s="41">
        <v>86.58</v>
      </c>
    </row>
    <row r="521" spans="1:11" x14ac:dyDescent="0.2">
      <c r="A521" s="43">
        <v>46113</v>
      </c>
      <c r="B521" t="s">
        <v>125</v>
      </c>
      <c r="C521" s="40">
        <v>38001027004</v>
      </c>
      <c r="D521" t="s">
        <v>193</v>
      </c>
      <c r="E521" s="39" t="s">
        <v>265</v>
      </c>
      <c r="F521" s="1">
        <v>1159</v>
      </c>
      <c r="G521" t="s">
        <v>14</v>
      </c>
      <c r="H521" s="1">
        <v>47</v>
      </c>
      <c r="I521" s="1">
        <v>1160</v>
      </c>
      <c r="J521" t="s">
        <v>13</v>
      </c>
      <c r="K521" s="41">
        <v>404.04</v>
      </c>
    </row>
    <row r="522" spans="1:11" x14ac:dyDescent="0.2">
      <c r="A522" s="43">
        <v>46113</v>
      </c>
      <c r="B522" t="s">
        <v>46</v>
      </c>
      <c r="C522" s="40">
        <v>38001002001</v>
      </c>
      <c r="D522" t="s">
        <v>48</v>
      </c>
      <c r="E522" s="39" t="s">
        <v>276</v>
      </c>
      <c r="F522" s="1">
        <v>1159</v>
      </c>
      <c r="G522" t="s">
        <v>14</v>
      </c>
      <c r="H522" s="1">
        <v>47</v>
      </c>
      <c r="I522" s="1">
        <v>1160</v>
      </c>
      <c r="J522" t="s">
        <v>13</v>
      </c>
      <c r="K522" s="41">
        <v>-126.18</v>
      </c>
    </row>
    <row r="523" spans="1:11" x14ac:dyDescent="0.2">
      <c r="A523" s="43">
        <v>46113</v>
      </c>
      <c r="B523" t="s">
        <v>35</v>
      </c>
      <c r="C523" s="40">
        <v>38001013002</v>
      </c>
      <c r="D523" t="s">
        <v>34</v>
      </c>
      <c r="E523" s="39" t="s">
        <v>277</v>
      </c>
      <c r="F523" s="1">
        <v>1159</v>
      </c>
      <c r="G523" t="s">
        <v>14</v>
      </c>
      <c r="H523" s="1">
        <v>47</v>
      </c>
      <c r="I523" s="1">
        <v>1150</v>
      </c>
      <c r="J523" t="s">
        <v>15</v>
      </c>
      <c r="K523" s="41">
        <v>1997.53</v>
      </c>
    </row>
    <row r="524" spans="1:11" x14ac:dyDescent="0.2">
      <c r="A524" s="43">
        <v>46113</v>
      </c>
      <c r="B524" t="s">
        <v>35</v>
      </c>
      <c r="C524" s="40">
        <v>38001013002</v>
      </c>
      <c r="D524" t="s">
        <v>34</v>
      </c>
      <c r="E524" s="39" t="s">
        <v>278</v>
      </c>
      <c r="F524" s="1">
        <v>1159</v>
      </c>
      <c r="G524" t="s">
        <v>14</v>
      </c>
      <c r="H524" s="1">
        <v>47</v>
      </c>
      <c r="I524" s="1">
        <v>1150</v>
      </c>
      <c r="J524" t="s">
        <v>15</v>
      </c>
      <c r="K524" s="41">
        <v>4210.54</v>
      </c>
    </row>
    <row r="525" spans="1:11" x14ac:dyDescent="0.2">
      <c r="A525" s="43">
        <v>46113</v>
      </c>
      <c r="B525" t="s">
        <v>11</v>
      </c>
      <c r="C525" s="40">
        <v>38001004001</v>
      </c>
      <c r="D525" t="s">
        <v>11</v>
      </c>
      <c r="E525" s="39" t="s">
        <v>279</v>
      </c>
      <c r="F525" s="1">
        <v>1159</v>
      </c>
      <c r="G525" t="s">
        <v>14</v>
      </c>
      <c r="H525" s="1">
        <v>47</v>
      </c>
      <c r="I525" s="1">
        <v>1150</v>
      </c>
      <c r="J525" t="s">
        <v>15</v>
      </c>
      <c r="K525" s="41">
        <v>112323.66</v>
      </c>
    </row>
    <row r="526" spans="1:11" x14ac:dyDescent="0.2">
      <c r="A526" s="43">
        <v>46113</v>
      </c>
      <c r="B526" t="s">
        <v>35</v>
      </c>
      <c r="C526" s="40">
        <v>38001013001</v>
      </c>
      <c r="D526" t="s">
        <v>35</v>
      </c>
      <c r="E526" s="39" t="s">
        <v>280</v>
      </c>
      <c r="F526" s="1">
        <v>1159</v>
      </c>
      <c r="G526" t="s">
        <v>14</v>
      </c>
      <c r="H526" s="1">
        <v>47</v>
      </c>
      <c r="I526" s="1">
        <v>1150</v>
      </c>
      <c r="J526" t="s">
        <v>15</v>
      </c>
      <c r="K526" s="41">
        <v>-156.72999999999999</v>
      </c>
    </row>
    <row r="527" spans="1:11" x14ac:dyDescent="0.2">
      <c r="A527" s="43">
        <v>46113</v>
      </c>
      <c r="B527" t="s">
        <v>35</v>
      </c>
      <c r="C527" s="40">
        <v>38001013001</v>
      </c>
      <c r="D527" t="s">
        <v>35</v>
      </c>
      <c r="E527" s="39" t="s">
        <v>281</v>
      </c>
      <c r="F527" s="1">
        <v>1159</v>
      </c>
      <c r="G527" t="s">
        <v>14</v>
      </c>
      <c r="H527" s="1">
        <v>47</v>
      </c>
      <c r="I527" s="1">
        <v>1159</v>
      </c>
      <c r="J527" t="s">
        <v>14</v>
      </c>
      <c r="K527" s="41">
        <v>-46.3</v>
      </c>
    </row>
    <row r="528" spans="1:11" x14ac:dyDescent="0.2">
      <c r="A528" s="43">
        <v>46113</v>
      </c>
      <c r="B528" t="s">
        <v>57</v>
      </c>
      <c r="C528" s="40">
        <v>38001018002</v>
      </c>
      <c r="D528" t="s">
        <v>59</v>
      </c>
      <c r="E528" s="39" t="s">
        <v>258</v>
      </c>
      <c r="F528" s="1">
        <v>1159</v>
      </c>
      <c r="G528" t="s">
        <v>14</v>
      </c>
      <c r="H528" s="1">
        <v>47</v>
      </c>
      <c r="I528" s="1">
        <v>1159</v>
      </c>
      <c r="J528" t="s">
        <v>14</v>
      </c>
      <c r="K528" s="41">
        <v>3297.32</v>
      </c>
    </row>
    <row r="529" spans="1:11" x14ac:dyDescent="0.2">
      <c r="A529" s="43">
        <v>46113</v>
      </c>
      <c r="B529" t="s">
        <v>35</v>
      </c>
      <c r="C529" s="40">
        <v>38001013001</v>
      </c>
      <c r="D529" t="s">
        <v>35</v>
      </c>
      <c r="E529" s="39" t="s">
        <v>282</v>
      </c>
      <c r="F529" s="1">
        <v>1159</v>
      </c>
      <c r="G529" t="s">
        <v>14</v>
      </c>
      <c r="H529" s="1">
        <v>47</v>
      </c>
      <c r="I529" s="1">
        <v>1160</v>
      </c>
      <c r="J529" t="s">
        <v>13</v>
      </c>
      <c r="K529" s="41">
        <v>-24.02</v>
      </c>
    </row>
    <row r="530" spans="1:11" x14ac:dyDescent="0.2">
      <c r="A530" s="43">
        <v>46113</v>
      </c>
      <c r="B530" t="s">
        <v>38</v>
      </c>
      <c r="C530" s="40">
        <v>38001023004</v>
      </c>
      <c r="D530" t="s">
        <v>36</v>
      </c>
      <c r="E530" s="39" t="s">
        <v>283</v>
      </c>
      <c r="F530" s="1">
        <v>1159</v>
      </c>
      <c r="G530" t="s">
        <v>14</v>
      </c>
      <c r="H530" s="1">
        <v>47</v>
      </c>
      <c r="I530" s="1">
        <v>1150</v>
      </c>
      <c r="J530" t="s">
        <v>15</v>
      </c>
      <c r="K530" s="41">
        <v>809.51</v>
      </c>
    </row>
    <row r="531" spans="1:11" x14ac:dyDescent="0.2">
      <c r="A531" s="43">
        <v>46113</v>
      </c>
      <c r="B531" t="s">
        <v>38</v>
      </c>
      <c r="C531" s="40">
        <v>38001023004</v>
      </c>
      <c r="D531" t="s">
        <v>36</v>
      </c>
      <c r="E531" s="39" t="s">
        <v>284</v>
      </c>
      <c r="F531" s="1">
        <v>1159</v>
      </c>
      <c r="G531" t="s">
        <v>14</v>
      </c>
      <c r="H531" s="1">
        <v>47</v>
      </c>
      <c r="I531" s="1">
        <v>1159</v>
      </c>
      <c r="J531" t="s">
        <v>14</v>
      </c>
      <c r="K531" s="41">
        <v>1567.03</v>
      </c>
    </row>
    <row r="532" spans="1:11" x14ac:dyDescent="0.2">
      <c r="A532" s="43">
        <v>46113</v>
      </c>
      <c r="B532" t="s">
        <v>38</v>
      </c>
      <c r="C532" s="40">
        <v>38001023004</v>
      </c>
      <c r="D532" t="s">
        <v>36</v>
      </c>
      <c r="E532" s="39" t="s">
        <v>285</v>
      </c>
      <c r="F532" s="1">
        <v>1159</v>
      </c>
      <c r="G532" t="s">
        <v>14</v>
      </c>
      <c r="H532" s="1">
        <v>47</v>
      </c>
      <c r="I532" s="1">
        <v>1160</v>
      </c>
      <c r="J532" t="s">
        <v>13</v>
      </c>
      <c r="K532" s="41">
        <v>538.17999999999995</v>
      </c>
    </row>
    <row r="533" spans="1:11" x14ac:dyDescent="0.2">
      <c r="A533" s="43">
        <v>46113</v>
      </c>
      <c r="B533" t="s">
        <v>107</v>
      </c>
      <c r="C533" s="40">
        <v>38001025002</v>
      </c>
      <c r="D533" t="s">
        <v>115</v>
      </c>
      <c r="E533" s="39" t="s">
        <v>286</v>
      </c>
      <c r="F533" s="1">
        <v>1159</v>
      </c>
      <c r="G533" t="s">
        <v>14</v>
      </c>
      <c r="H533" s="1">
        <v>47</v>
      </c>
      <c r="I533" s="1">
        <v>1150</v>
      </c>
      <c r="J533" t="s">
        <v>15</v>
      </c>
      <c r="K533" s="41">
        <v>575.54</v>
      </c>
    </row>
    <row r="534" spans="1:11" x14ac:dyDescent="0.2">
      <c r="A534" s="43">
        <v>46113</v>
      </c>
      <c r="B534" t="s">
        <v>107</v>
      </c>
      <c r="C534" s="40">
        <v>38001025002</v>
      </c>
      <c r="D534" t="s">
        <v>115</v>
      </c>
      <c r="E534" s="39" t="s">
        <v>287</v>
      </c>
      <c r="F534" s="1">
        <v>1159</v>
      </c>
      <c r="G534" t="s">
        <v>14</v>
      </c>
      <c r="H534" s="1">
        <v>47</v>
      </c>
      <c r="I534" s="1">
        <v>1159</v>
      </c>
      <c r="J534" t="s">
        <v>14</v>
      </c>
      <c r="K534" s="41">
        <v>576.33000000000004</v>
      </c>
    </row>
    <row r="535" spans="1:11" x14ac:dyDescent="0.2">
      <c r="A535" s="43">
        <v>46113</v>
      </c>
      <c r="B535" t="s">
        <v>107</v>
      </c>
      <c r="C535" s="40">
        <v>38001025002</v>
      </c>
      <c r="D535" t="s">
        <v>115</v>
      </c>
      <c r="E535" s="39" t="s">
        <v>288</v>
      </c>
      <c r="F535" s="1">
        <v>1159</v>
      </c>
      <c r="G535" t="s">
        <v>14</v>
      </c>
      <c r="H535" s="1">
        <v>47</v>
      </c>
      <c r="I535" s="1">
        <v>1160</v>
      </c>
      <c r="J535" t="s">
        <v>13</v>
      </c>
      <c r="K535" s="41">
        <v>431.45</v>
      </c>
    </row>
    <row r="536" spans="1:11" x14ac:dyDescent="0.2">
      <c r="A536" s="43">
        <v>46113</v>
      </c>
      <c r="B536" t="s">
        <v>35</v>
      </c>
      <c r="C536" s="40">
        <v>38001013004</v>
      </c>
      <c r="D536" t="s">
        <v>33</v>
      </c>
      <c r="E536" s="39" t="s">
        <v>290</v>
      </c>
      <c r="F536" s="1">
        <v>1159</v>
      </c>
      <c r="G536" t="s">
        <v>14</v>
      </c>
      <c r="H536" s="1">
        <v>47</v>
      </c>
      <c r="I536" s="1">
        <v>1150</v>
      </c>
      <c r="J536" t="s">
        <v>15</v>
      </c>
      <c r="K536" s="41">
        <v>5807.62</v>
      </c>
    </row>
    <row r="537" spans="1:11" x14ac:dyDescent="0.2">
      <c r="A537" s="43">
        <v>46113</v>
      </c>
      <c r="B537" t="s">
        <v>35</v>
      </c>
      <c r="C537" s="40">
        <v>38001013004</v>
      </c>
      <c r="D537" t="s">
        <v>33</v>
      </c>
      <c r="E537" s="39" t="s">
        <v>291</v>
      </c>
      <c r="F537" s="1">
        <v>1159</v>
      </c>
      <c r="G537" t="s">
        <v>14</v>
      </c>
      <c r="H537" s="1">
        <v>47</v>
      </c>
      <c r="I537" s="1">
        <v>1159</v>
      </c>
      <c r="J537" t="s">
        <v>14</v>
      </c>
      <c r="K537" s="41">
        <v>5409.47</v>
      </c>
    </row>
    <row r="538" spans="1:11" x14ac:dyDescent="0.2">
      <c r="A538" s="43">
        <v>46113</v>
      </c>
      <c r="B538" t="s">
        <v>35</v>
      </c>
      <c r="C538" s="40">
        <v>38001013004</v>
      </c>
      <c r="D538" t="s">
        <v>33</v>
      </c>
      <c r="E538" s="39" t="s">
        <v>292</v>
      </c>
      <c r="F538" s="1">
        <v>1159</v>
      </c>
      <c r="G538" t="s">
        <v>14</v>
      </c>
      <c r="H538" s="1">
        <v>47</v>
      </c>
      <c r="I538" s="1">
        <v>1160</v>
      </c>
      <c r="J538" t="s">
        <v>13</v>
      </c>
      <c r="K538" s="41">
        <v>4923.3999999999996</v>
      </c>
    </row>
    <row r="539" spans="1:11" x14ac:dyDescent="0.2">
      <c r="A539" s="43">
        <v>46113</v>
      </c>
      <c r="B539" t="s">
        <v>57</v>
      </c>
      <c r="C539" s="40">
        <v>38001018002</v>
      </c>
      <c r="D539" t="s">
        <v>59</v>
      </c>
      <c r="E539" s="39" t="s">
        <v>229</v>
      </c>
      <c r="F539" s="1">
        <v>1159</v>
      </c>
      <c r="G539" t="s">
        <v>14</v>
      </c>
      <c r="H539" s="1">
        <v>47</v>
      </c>
      <c r="I539" s="1">
        <v>1159</v>
      </c>
      <c r="J539" t="s">
        <v>14</v>
      </c>
      <c r="K539" s="41">
        <v>-3703.1</v>
      </c>
    </row>
    <row r="540" spans="1:11" x14ac:dyDescent="0.2">
      <c r="A540" s="43">
        <v>46113</v>
      </c>
      <c r="B540" t="s">
        <v>11</v>
      </c>
      <c r="C540" s="40">
        <v>38001004001</v>
      </c>
      <c r="D540" t="s">
        <v>11</v>
      </c>
      <c r="E540" s="39" t="s">
        <v>293</v>
      </c>
      <c r="F540" s="1">
        <v>1159</v>
      </c>
      <c r="G540" t="s">
        <v>14</v>
      </c>
      <c r="H540" s="1">
        <v>47</v>
      </c>
      <c r="I540" s="1">
        <v>1160</v>
      </c>
      <c r="J540" t="s">
        <v>13</v>
      </c>
      <c r="K540" s="41">
        <v>118269.67</v>
      </c>
    </row>
    <row r="541" spans="1:11" x14ac:dyDescent="0.2">
      <c r="A541" s="43">
        <v>46113</v>
      </c>
      <c r="B541" t="s">
        <v>11</v>
      </c>
      <c r="C541" s="40">
        <v>38001004001</v>
      </c>
      <c r="D541" t="s">
        <v>11</v>
      </c>
      <c r="E541" s="39" t="s">
        <v>289</v>
      </c>
      <c r="F541" s="1">
        <v>1159</v>
      </c>
      <c r="G541" t="s">
        <v>14</v>
      </c>
      <c r="H541" s="1">
        <v>47</v>
      </c>
      <c r="I541" s="1">
        <v>1159</v>
      </c>
      <c r="J541" t="s">
        <v>14</v>
      </c>
      <c r="K541" s="41">
        <v>321249.56</v>
      </c>
    </row>
    <row r="542" spans="1:11" x14ac:dyDescent="0.2">
      <c r="A542" s="43">
        <v>46113</v>
      </c>
      <c r="B542" t="s">
        <v>38</v>
      </c>
      <c r="C542" s="40">
        <v>38001023002</v>
      </c>
      <c r="D542" t="s">
        <v>37</v>
      </c>
      <c r="E542" s="39" t="s">
        <v>294</v>
      </c>
      <c r="F542" s="1">
        <v>1159</v>
      </c>
      <c r="G542" t="s">
        <v>14</v>
      </c>
      <c r="H542" s="1">
        <v>47</v>
      </c>
      <c r="I542" s="1">
        <v>1150</v>
      </c>
      <c r="J542" t="s">
        <v>15</v>
      </c>
      <c r="K542" s="41">
        <v>865.3</v>
      </c>
    </row>
    <row r="543" spans="1:11" x14ac:dyDescent="0.2">
      <c r="A543" s="43">
        <v>46113</v>
      </c>
      <c r="B543" t="s">
        <v>38</v>
      </c>
      <c r="C543" s="40">
        <v>38001023002</v>
      </c>
      <c r="D543" t="s">
        <v>37</v>
      </c>
      <c r="E543" s="39" t="s">
        <v>295</v>
      </c>
      <c r="F543" s="1">
        <v>1159</v>
      </c>
      <c r="G543" t="s">
        <v>14</v>
      </c>
      <c r="H543" s="1">
        <v>47</v>
      </c>
      <c r="I543" s="1">
        <v>1159</v>
      </c>
      <c r="J543" t="s">
        <v>14</v>
      </c>
      <c r="K543" s="41">
        <v>1675.07</v>
      </c>
    </row>
    <row r="544" spans="1:11" x14ac:dyDescent="0.2">
      <c r="A544" s="43">
        <v>46113</v>
      </c>
      <c r="B544" t="s">
        <v>38</v>
      </c>
      <c r="C544" s="40">
        <v>38001023002</v>
      </c>
      <c r="D544" t="s">
        <v>37</v>
      </c>
      <c r="E544" s="39" t="s">
        <v>296</v>
      </c>
      <c r="F544" s="1">
        <v>1159</v>
      </c>
      <c r="G544" t="s">
        <v>14</v>
      </c>
      <c r="H544" s="1">
        <v>47</v>
      </c>
      <c r="I544" s="1">
        <v>1160</v>
      </c>
      <c r="J544" t="s">
        <v>13</v>
      </c>
      <c r="K544" s="41">
        <v>575.32000000000005</v>
      </c>
    </row>
    <row r="545" spans="1:11" x14ac:dyDescent="0.2">
      <c r="A545" s="43">
        <v>46113</v>
      </c>
      <c r="B545" t="s">
        <v>107</v>
      </c>
      <c r="C545" s="40">
        <v>38001025004</v>
      </c>
      <c r="D545" t="s">
        <v>108</v>
      </c>
      <c r="E545" s="39" t="s">
        <v>297</v>
      </c>
      <c r="F545" s="1">
        <v>1159</v>
      </c>
      <c r="G545" t="s">
        <v>14</v>
      </c>
      <c r="H545" s="1">
        <v>47</v>
      </c>
      <c r="I545" s="1">
        <v>1150</v>
      </c>
      <c r="J545" t="s">
        <v>15</v>
      </c>
      <c r="K545" s="41">
        <v>538.38</v>
      </c>
    </row>
    <row r="546" spans="1:11" x14ac:dyDescent="0.2">
      <c r="A546" s="43">
        <v>46113</v>
      </c>
      <c r="B546" t="s">
        <v>107</v>
      </c>
      <c r="C546" s="40">
        <v>38001025004</v>
      </c>
      <c r="D546" t="s">
        <v>108</v>
      </c>
      <c r="E546" s="39" t="s">
        <v>298</v>
      </c>
      <c r="F546" s="1">
        <v>1159</v>
      </c>
      <c r="G546" t="s">
        <v>14</v>
      </c>
      <c r="H546" s="1">
        <v>47</v>
      </c>
      <c r="I546" s="1">
        <v>1159</v>
      </c>
      <c r="J546" t="s">
        <v>14</v>
      </c>
      <c r="K546" s="41">
        <v>539.16</v>
      </c>
    </row>
    <row r="547" spans="1:11" x14ac:dyDescent="0.2">
      <c r="A547" s="43">
        <v>46113</v>
      </c>
      <c r="B547" t="s">
        <v>107</v>
      </c>
      <c r="C547" s="40">
        <v>38001025004</v>
      </c>
      <c r="D547" t="s">
        <v>108</v>
      </c>
      <c r="E547" s="39" t="s">
        <v>299</v>
      </c>
      <c r="F547" s="1">
        <v>1159</v>
      </c>
      <c r="G547" t="s">
        <v>14</v>
      </c>
      <c r="H547" s="1">
        <v>47</v>
      </c>
      <c r="I547" s="1">
        <v>1160</v>
      </c>
      <c r="J547" t="s">
        <v>13</v>
      </c>
      <c r="K547" s="41">
        <v>403.65</v>
      </c>
    </row>
    <row r="548" spans="1:11" x14ac:dyDescent="0.2">
      <c r="A548" s="43">
        <v>46113</v>
      </c>
      <c r="B548" t="s">
        <v>35</v>
      </c>
      <c r="C548" s="40">
        <v>38001013001</v>
      </c>
      <c r="D548" t="s">
        <v>35</v>
      </c>
      <c r="E548" s="39" t="s">
        <v>269</v>
      </c>
      <c r="F548" s="1">
        <v>1159</v>
      </c>
      <c r="G548" t="s">
        <v>14</v>
      </c>
      <c r="H548" s="1">
        <v>47</v>
      </c>
      <c r="I548" s="1">
        <v>1150</v>
      </c>
      <c r="J548" t="s">
        <v>15</v>
      </c>
      <c r="K548" s="41">
        <v>132.52000000000001</v>
      </c>
    </row>
    <row r="549" spans="1:11" x14ac:dyDescent="0.2">
      <c r="A549" s="43">
        <v>46113</v>
      </c>
      <c r="B549" t="s">
        <v>35</v>
      </c>
      <c r="C549" s="40">
        <v>38001013001</v>
      </c>
      <c r="D549" t="s">
        <v>35</v>
      </c>
      <c r="E549" s="39" t="s">
        <v>269</v>
      </c>
      <c r="F549" s="1">
        <v>1159</v>
      </c>
      <c r="G549" t="s">
        <v>14</v>
      </c>
      <c r="H549" s="1">
        <v>47</v>
      </c>
      <c r="I549" s="1">
        <v>1159</v>
      </c>
      <c r="J549" t="s">
        <v>14</v>
      </c>
      <c r="K549" s="41">
        <v>130.94999999999999</v>
      </c>
    </row>
    <row r="550" spans="1:11" x14ac:dyDescent="0.2">
      <c r="A550" s="43">
        <v>46113</v>
      </c>
      <c r="B550" t="s">
        <v>35</v>
      </c>
      <c r="C550" s="40">
        <v>38001013001</v>
      </c>
      <c r="D550" t="s">
        <v>35</v>
      </c>
      <c r="E550" s="39" t="s">
        <v>300</v>
      </c>
      <c r="F550" s="1">
        <v>1159</v>
      </c>
      <c r="G550" t="s">
        <v>14</v>
      </c>
      <c r="H550" s="1">
        <v>47</v>
      </c>
      <c r="I550" s="1">
        <v>1150</v>
      </c>
      <c r="J550" t="s">
        <v>15</v>
      </c>
      <c r="K550" s="41">
        <v>0.67</v>
      </c>
    </row>
    <row r="551" spans="1:11" x14ac:dyDescent="0.2">
      <c r="A551" s="43">
        <v>46113</v>
      </c>
      <c r="B551" t="s">
        <v>35</v>
      </c>
      <c r="C551" s="40">
        <v>38001013001</v>
      </c>
      <c r="D551" t="s">
        <v>35</v>
      </c>
      <c r="E551" s="39" t="s">
        <v>269</v>
      </c>
      <c r="F551" s="1">
        <v>1159</v>
      </c>
      <c r="G551" t="s">
        <v>14</v>
      </c>
      <c r="H551" s="1">
        <v>47</v>
      </c>
      <c r="I551" s="1">
        <v>1160</v>
      </c>
      <c r="J551" t="s">
        <v>13</v>
      </c>
      <c r="K551" s="41">
        <v>124.22</v>
      </c>
    </row>
    <row r="552" spans="1:11" x14ac:dyDescent="0.2">
      <c r="A552" s="43">
        <v>46113</v>
      </c>
      <c r="B552" t="s">
        <v>66</v>
      </c>
      <c r="C552" s="40">
        <v>38001011004</v>
      </c>
      <c r="D552" t="s">
        <v>65</v>
      </c>
      <c r="E552" s="39" t="s">
        <v>301</v>
      </c>
      <c r="F552" s="1">
        <v>1159</v>
      </c>
      <c r="G552" t="s">
        <v>14</v>
      </c>
      <c r="H552" s="1">
        <v>47</v>
      </c>
      <c r="I552" s="1">
        <v>1150</v>
      </c>
      <c r="J552" t="s">
        <v>15</v>
      </c>
      <c r="K552" s="41">
        <v>5000</v>
      </c>
    </row>
    <row r="553" spans="1:11" x14ac:dyDescent="0.2">
      <c r="A553" s="43">
        <v>46113</v>
      </c>
      <c r="B553" t="s">
        <v>125</v>
      </c>
      <c r="C553" s="40">
        <v>38001027007</v>
      </c>
      <c r="D553" t="s">
        <v>126</v>
      </c>
      <c r="E553" s="39" t="s">
        <v>302</v>
      </c>
      <c r="F553" s="1">
        <v>1159</v>
      </c>
      <c r="G553" t="s">
        <v>14</v>
      </c>
      <c r="H553" s="1">
        <v>47</v>
      </c>
      <c r="I553" s="1">
        <v>1150</v>
      </c>
      <c r="J553" t="s">
        <v>15</v>
      </c>
      <c r="K553" s="41">
        <v>-413.26</v>
      </c>
    </row>
    <row r="554" spans="1:11" x14ac:dyDescent="0.2">
      <c r="A554" s="43">
        <v>46113</v>
      </c>
      <c r="B554" t="s">
        <v>107</v>
      </c>
      <c r="C554" s="40">
        <v>38001025001</v>
      </c>
      <c r="D554" t="s">
        <v>107</v>
      </c>
      <c r="E554" s="39" t="s">
        <v>303</v>
      </c>
      <c r="F554" s="1">
        <v>1159</v>
      </c>
      <c r="G554" t="s">
        <v>14</v>
      </c>
      <c r="H554" s="1">
        <v>47</v>
      </c>
      <c r="I554" s="1">
        <v>1160</v>
      </c>
      <c r="J554" t="s">
        <v>13</v>
      </c>
      <c r="K554" s="41">
        <v>3321.34</v>
      </c>
    </row>
    <row r="555" spans="1:11" x14ac:dyDescent="0.2">
      <c r="A555" s="43">
        <v>46113</v>
      </c>
      <c r="B555" t="s">
        <v>66</v>
      </c>
      <c r="C555" s="40">
        <v>38001011003</v>
      </c>
      <c r="D555" t="s">
        <v>68</v>
      </c>
      <c r="E555" s="39" t="s">
        <v>304</v>
      </c>
      <c r="F555" s="1">
        <v>1159</v>
      </c>
      <c r="G555" t="s">
        <v>14</v>
      </c>
      <c r="H555" s="1">
        <v>47</v>
      </c>
      <c r="I555" s="1">
        <v>1160</v>
      </c>
      <c r="J555" t="s">
        <v>13</v>
      </c>
      <c r="K555" s="41">
        <v>50000</v>
      </c>
    </row>
    <row r="556" spans="1:11" x14ac:dyDescent="0.2">
      <c r="A556" s="43">
        <v>46113</v>
      </c>
      <c r="B556" t="s">
        <v>41</v>
      </c>
      <c r="C556" s="40">
        <v>38001019001</v>
      </c>
      <c r="D556" t="s">
        <v>55</v>
      </c>
      <c r="E556" s="39" t="s">
        <v>253</v>
      </c>
      <c r="F556" s="1">
        <v>1159</v>
      </c>
      <c r="G556" t="s">
        <v>14</v>
      </c>
      <c r="H556" s="1">
        <v>47</v>
      </c>
      <c r="I556" s="1">
        <v>1159</v>
      </c>
      <c r="J556" t="s">
        <v>14</v>
      </c>
      <c r="K556" s="41">
        <v>2420.25</v>
      </c>
    </row>
    <row r="557" spans="1:11" x14ac:dyDescent="0.2">
      <c r="A557" s="43">
        <v>46113</v>
      </c>
      <c r="B557" t="s">
        <v>41</v>
      </c>
      <c r="C557" s="40">
        <v>38001019005</v>
      </c>
      <c r="D557" t="s">
        <v>52</v>
      </c>
      <c r="E557" s="39" t="s">
        <v>264</v>
      </c>
      <c r="F557" s="1">
        <v>1159</v>
      </c>
      <c r="G557" t="s">
        <v>14</v>
      </c>
      <c r="H557" s="1">
        <v>47</v>
      </c>
      <c r="I557" s="1">
        <v>1159</v>
      </c>
      <c r="J557" t="s">
        <v>14</v>
      </c>
      <c r="K557" s="41">
        <v>926.44</v>
      </c>
    </row>
    <row r="558" spans="1:11" x14ac:dyDescent="0.2">
      <c r="A558" s="43">
        <v>46113</v>
      </c>
      <c r="B558" t="s">
        <v>66</v>
      </c>
      <c r="C558" s="40">
        <v>38001011003</v>
      </c>
      <c r="D558" t="s">
        <v>68</v>
      </c>
      <c r="E558" s="39" t="s">
        <v>305</v>
      </c>
      <c r="F558" s="1">
        <v>1159</v>
      </c>
      <c r="G558" t="s">
        <v>14</v>
      </c>
      <c r="H558" s="1">
        <v>47</v>
      </c>
      <c r="I558" s="1">
        <v>1160</v>
      </c>
      <c r="J558" t="s">
        <v>13</v>
      </c>
      <c r="K558" s="41">
        <v>50000</v>
      </c>
    </row>
    <row r="559" spans="1:11" x14ac:dyDescent="0.2">
      <c r="A559" s="43">
        <v>46113</v>
      </c>
      <c r="B559" t="s">
        <v>0</v>
      </c>
      <c r="C559" s="40">
        <v>38001001004</v>
      </c>
      <c r="D559" t="s">
        <v>62</v>
      </c>
      <c r="E559" s="39" t="s">
        <v>306</v>
      </c>
      <c r="F559" s="1">
        <v>1159</v>
      </c>
      <c r="G559" t="s">
        <v>14</v>
      </c>
      <c r="H559" s="1">
        <v>47</v>
      </c>
      <c r="I559" s="1">
        <v>1150</v>
      </c>
      <c r="J559" t="s">
        <v>15</v>
      </c>
      <c r="K559" s="41">
        <v>5896.17</v>
      </c>
    </row>
    <row r="560" spans="1:11" x14ac:dyDescent="0.2">
      <c r="A560" s="43">
        <v>46113</v>
      </c>
      <c r="B560" t="s">
        <v>35</v>
      </c>
      <c r="C560" s="40">
        <v>38001013001</v>
      </c>
      <c r="D560" t="s">
        <v>35</v>
      </c>
      <c r="E560" s="39" t="s">
        <v>307</v>
      </c>
      <c r="F560" s="1">
        <v>1159</v>
      </c>
      <c r="G560" t="s">
        <v>14</v>
      </c>
      <c r="H560" s="1">
        <v>47</v>
      </c>
      <c r="I560" s="1">
        <v>1160</v>
      </c>
      <c r="J560" t="s">
        <v>13</v>
      </c>
      <c r="K560" s="41">
        <v>206.02</v>
      </c>
    </row>
    <row r="561" spans="1:11" x14ac:dyDescent="0.2">
      <c r="A561" s="43">
        <v>46113</v>
      </c>
      <c r="B561" t="s">
        <v>35</v>
      </c>
      <c r="C561" s="40">
        <v>38001013001</v>
      </c>
      <c r="D561" t="s">
        <v>35</v>
      </c>
      <c r="E561" s="39" t="s">
        <v>308</v>
      </c>
      <c r="F561" s="1">
        <v>1159</v>
      </c>
      <c r="G561" t="s">
        <v>14</v>
      </c>
      <c r="H561" s="1">
        <v>47</v>
      </c>
      <c r="I561" s="1">
        <v>1160</v>
      </c>
      <c r="J561" t="s">
        <v>13</v>
      </c>
      <c r="K561" s="41">
        <v>57559.39</v>
      </c>
    </row>
    <row r="562" spans="1:11" x14ac:dyDescent="0.2">
      <c r="A562" s="43">
        <v>46113</v>
      </c>
      <c r="B562" t="s">
        <v>125</v>
      </c>
      <c r="C562" s="40">
        <v>38001027008</v>
      </c>
      <c r="D562" t="s">
        <v>12</v>
      </c>
      <c r="E562" s="39" t="s">
        <v>275</v>
      </c>
      <c r="F562" s="1">
        <v>1159</v>
      </c>
      <c r="G562" t="s">
        <v>14</v>
      </c>
      <c r="H562" s="1">
        <v>47</v>
      </c>
      <c r="I562" s="1">
        <v>1150</v>
      </c>
      <c r="J562" t="s">
        <v>15</v>
      </c>
      <c r="K562" s="41">
        <v>1500</v>
      </c>
    </row>
    <row r="563" spans="1:11" x14ac:dyDescent="0.2">
      <c r="A563" s="43">
        <v>46113</v>
      </c>
      <c r="B563" t="s">
        <v>125</v>
      </c>
      <c r="C563" s="40">
        <v>38001027008</v>
      </c>
      <c r="D563" t="s">
        <v>12</v>
      </c>
      <c r="E563" s="39" t="s">
        <v>275</v>
      </c>
      <c r="F563" s="1">
        <v>1159</v>
      </c>
      <c r="G563" t="s">
        <v>14</v>
      </c>
      <c r="H563" s="1">
        <v>47</v>
      </c>
      <c r="I563" s="1">
        <v>1160</v>
      </c>
      <c r="J563" t="s">
        <v>13</v>
      </c>
      <c r="K563" s="41">
        <v>2600</v>
      </c>
    </row>
    <row r="564" spans="1:11" x14ac:dyDescent="0.2">
      <c r="A564" s="43">
        <v>46113</v>
      </c>
      <c r="B564" t="s">
        <v>38</v>
      </c>
      <c r="C564" s="40">
        <v>38001023001</v>
      </c>
      <c r="D564" t="s">
        <v>38</v>
      </c>
      <c r="E564" s="39" t="s">
        <v>309</v>
      </c>
      <c r="F564" s="1">
        <v>1159</v>
      </c>
      <c r="G564" t="s">
        <v>14</v>
      </c>
      <c r="H564" s="1">
        <v>47</v>
      </c>
      <c r="I564" s="1">
        <v>1150</v>
      </c>
      <c r="J564" t="s">
        <v>15</v>
      </c>
      <c r="K564" s="41">
        <v>10118.66</v>
      </c>
    </row>
    <row r="565" spans="1:11" x14ac:dyDescent="0.2">
      <c r="A565" s="43">
        <v>46113</v>
      </c>
      <c r="B565" t="s">
        <v>38</v>
      </c>
      <c r="C565" s="40">
        <v>38001023001</v>
      </c>
      <c r="D565" t="s">
        <v>38</v>
      </c>
      <c r="E565" s="39" t="s">
        <v>310</v>
      </c>
      <c r="F565" s="1">
        <v>1159</v>
      </c>
      <c r="G565" t="s">
        <v>14</v>
      </c>
      <c r="H565" s="1">
        <v>47</v>
      </c>
      <c r="I565" s="1">
        <v>1159</v>
      </c>
      <c r="J565" t="s">
        <v>14</v>
      </c>
      <c r="K565" s="41">
        <v>19587.91</v>
      </c>
    </row>
    <row r="566" spans="1:11" x14ac:dyDescent="0.2">
      <c r="A566" s="43">
        <v>46113</v>
      </c>
      <c r="B566" t="s">
        <v>38</v>
      </c>
      <c r="C566" s="40">
        <v>38001023001</v>
      </c>
      <c r="D566" t="s">
        <v>38</v>
      </c>
      <c r="E566" s="39" t="s">
        <v>311</v>
      </c>
      <c r="F566" s="1">
        <v>1159</v>
      </c>
      <c r="G566" t="s">
        <v>14</v>
      </c>
      <c r="H566" s="1">
        <v>47</v>
      </c>
      <c r="I566" s="1">
        <v>1160</v>
      </c>
      <c r="J566" t="s">
        <v>13</v>
      </c>
      <c r="K566" s="41">
        <v>6727.46</v>
      </c>
    </row>
    <row r="567" spans="1:11" x14ac:dyDescent="0.2">
      <c r="A567" s="43">
        <v>46113</v>
      </c>
      <c r="B567" t="s">
        <v>66</v>
      </c>
      <c r="C567" s="40">
        <v>38001011004</v>
      </c>
      <c r="D567" t="s">
        <v>65</v>
      </c>
      <c r="E567" s="39" t="s">
        <v>248</v>
      </c>
      <c r="F567" s="1">
        <v>1159</v>
      </c>
      <c r="G567" t="s">
        <v>14</v>
      </c>
      <c r="H567" s="1">
        <v>47</v>
      </c>
      <c r="I567" s="1">
        <v>1150</v>
      </c>
      <c r="J567" t="s">
        <v>15</v>
      </c>
      <c r="K567" s="41">
        <v>-37361.46</v>
      </c>
    </row>
    <row r="568" spans="1:11" x14ac:dyDescent="0.2">
      <c r="A568" s="43">
        <v>46113</v>
      </c>
      <c r="B568" t="s">
        <v>35</v>
      </c>
      <c r="C568" s="40">
        <v>38001013001</v>
      </c>
      <c r="D568" t="s">
        <v>35</v>
      </c>
      <c r="E568" s="39" t="s">
        <v>312</v>
      </c>
      <c r="F568" s="1">
        <v>1159</v>
      </c>
      <c r="G568" t="s">
        <v>14</v>
      </c>
      <c r="H568" s="1">
        <v>47</v>
      </c>
      <c r="I568" s="1">
        <v>1150</v>
      </c>
      <c r="J568" t="s">
        <v>15</v>
      </c>
      <c r="K568" s="41">
        <v>70985.11</v>
      </c>
    </row>
    <row r="569" spans="1:11" x14ac:dyDescent="0.2">
      <c r="A569" s="43">
        <v>46113</v>
      </c>
      <c r="B569" t="s">
        <v>35</v>
      </c>
      <c r="C569" s="40">
        <v>38001013001</v>
      </c>
      <c r="D569" t="s">
        <v>35</v>
      </c>
      <c r="E569" s="39" t="s">
        <v>313</v>
      </c>
      <c r="F569" s="1">
        <v>1159</v>
      </c>
      <c r="G569" t="s">
        <v>14</v>
      </c>
      <c r="H569" s="1">
        <v>47</v>
      </c>
      <c r="I569" s="1">
        <v>1150</v>
      </c>
      <c r="J569" t="s">
        <v>15</v>
      </c>
      <c r="K569" s="41">
        <v>-0.67</v>
      </c>
    </row>
    <row r="570" spans="1:11" x14ac:dyDescent="0.2">
      <c r="A570" s="43">
        <v>46113</v>
      </c>
      <c r="B570" t="s">
        <v>35</v>
      </c>
      <c r="C570" s="40">
        <v>38001013001</v>
      </c>
      <c r="D570" t="s">
        <v>35</v>
      </c>
      <c r="E570" s="39" t="s">
        <v>314</v>
      </c>
      <c r="F570" s="1">
        <v>1159</v>
      </c>
      <c r="G570" t="s">
        <v>14</v>
      </c>
      <c r="H570" s="1">
        <v>47</v>
      </c>
      <c r="I570" s="1">
        <v>1159</v>
      </c>
      <c r="J570" t="s">
        <v>14</v>
      </c>
      <c r="K570" s="41">
        <v>57030.63</v>
      </c>
    </row>
    <row r="571" spans="1:11" x14ac:dyDescent="0.2">
      <c r="A571" s="43">
        <v>46113</v>
      </c>
      <c r="B571" t="s">
        <v>11</v>
      </c>
      <c r="C571" s="40">
        <v>38001004001</v>
      </c>
      <c r="D571" t="s">
        <v>11</v>
      </c>
      <c r="E571" s="39" t="s">
        <v>279</v>
      </c>
      <c r="F571" s="1">
        <v>1159</v>
      </c>
      <c r="G571" t="s">
        <v>14</v>
      </c>
      <c r="H571" s="1">
        <v>47</v>
      </c>
      <c r="I571" s="1">
        <v>1150</v>
      </c>
      <c r="J571" t="s">
        <v>15</v>
      </c>
      <c r="K571" s="41">
        <v>-112323.66</v>
      </c>
    </row>
    <row r="572" spans="1:11" x14ac:dyDescent="0.2">
      <c r="A572" s="43">
        <v>46113</v>
      </c>
      <c r="B572" t="s">
        <v>50</v>
      </c>
      <c r="C572" s="40">
        <v>38001008004</v>
      </c>
      <c r="D572" t="s">
        <v>49</v>
      </c>
      <c r="E572" s="39" t="s">
        <v>315</v>
      </c>
      <c r="F572" s="1">
        <v>1159</v>
      </c>
      <c r="G572" t="s">
        <v>14</v>
      </c>
      <c r="H572" s="1">
        <v>47</v>
      </c>
      <c r="I572" s="1">
        <v>1159</v>
      </c>
      <c r="J572" t="s">
        <v>14</v>
      </c>
      <c r="K572" s="41">
        <v>176.4</v>
      </c>
    </row>
    <row r="573" spans="1:11" x14ac:dyDescent="0.2">
      <c r="A573" s="43">
        <v>46113</v>
      </c>
      <c r="B573" t="s">
        <v>35</v>
      </c>
      <c r="C573" s="40">
        <v>38001013002</v>
      </c>
      <c r="D573" t="s">
        <v>34</v>
      </c>
      <c r="E573" s="39" t="s">
        <v>316</v>
      </c>
      <c r="F573" s="1">
        <v>1159</v>
      </c>
      <c r="G573" t="s">
        <v>14</v>
      </c>
      <c r="H573" s="1">
        <v>47</v>
      </c>
      <c r="I573" s="1">
        <v>1150</v>
      </c>
      <c r="J573" t="s">
        <v>15</v>
      </c>
      <c r="K573" s="41">
        <v>7259.59</v>
      </c>
    </row>
    <row r="574" spans="1:11" x14ac:dyDescent="0.2">
      <c r="A574" s="43">
        <v>46113</v>
      </c>
      <c r="B574" t="s">
        <v>35</v>
      </c>
      <c r="C574" s="40">
        <v>38001013002</v>
      </c>
      <c r="D574" t="s">
        <v>34</v>
      </c>
      <c r="E574" s="39" t="s">
        <v>317</v>
      </c>
      <c r="F574" s="1">
        <v>1159</v>
      </c>
      <c r="G574" t="s">
        <v>14</v>
      </c>
      <c r="H574" s="1">
        <v>47</v>
      </c>
      <c r="I574" s="1">
        <v>1159</v>
      </c>
      <c r="J574" t="s">
        <v>14</v>
      </c>
      <c r="K574" s="41">
        <v>6761.85</v>
      </c>
    </row>
    <row r="575" spans="1:11" x14ac:dyDescent="0.2">
      <c r="A575" s="43">
        <v>46113</v>
      </c>
      <c r="B575" t="s">
        <v>35</v>
      </c>
      <c r="C575" s="40">
        <v>38001013002</v>
      </c>
      <c r="D575" t="s">
        <v>34</v>
      </c>
      <c r="E575" s="39" t="s">
        <v>318</v>
      </c>
      <c r="F575" s="1">
        <v>1159</v>
      </c>
      <c r="G575" t="s">
        <v>14</v>
      </c>
      <c r="H575" s="1">
        <v>47</v>
      </c>
      <c r="I575" s="1">
        <v>1160</v>
      </c>
      <c r="J575" t="s">
        <v>13</v>
      </c>
      <c r="K575" s="41">
        <v>6154.28</v>
      </c>
    </row>
    <row r="576" spans="1:11" x14ac:dyDescent="0.2">
      <c r="A576" s="43">
        <v>46113</v>
      </c>
      <c r="B576" t="s">
        <v>35</v>
      </c>
      <c r="C576" s="40">
        <v>38001013001</v>
      </c>
      <c r="D576" t="s">
        <v>35</v>
      </c>
      <c r="E576" s="39" t="s">
        <v>319</v>
      </c>
      <c r="F576" s="1">
        <v>1159</v>
      </c>
      <c r="G576" t="s">
        <v>14</v>
      </c>
      <c r="H576" s="1">
        <v>47</v>
      </c>
      <c r="I576" s="1">
        <v>1150</v>
      </c>
      <c r="J576" t="s">
        <v>15</v>
      </c>
      <c r="K576" s="41">
        <v>-647.4</v>
      </c>
    </row>
    <row r="577" spans="1:11" x14ac:dyDescent="0.2">
      <c r="A577" s="43">
        <v>46113</v>
      </c>
      <c r="B577" t="s">
        <v>35</v>
      </c>
      <c r="C577" s="40">
        <v>38001013001</v>
      </c>
      <c r="D577" t="s">
        <v>35</v>
      </c>
      <c r="E577" s="39" t="s">
        <v>320</v>
      </c>
      <c r="F577" s="1">
        <v>1159</v>
      </c>
      <c r="G577" t="s">
        <v>14</v>
      </c>
      <c r="H577" s="1">
        <v>47</v>
      </c>
      <c r="I577" s="1">
        <v>1150</v>
      </c>
      <c r="J577" t="s">
        <v>15</v>
      </c>
      <c r="K577" s="41">
        <v>-870.96</v>
      </c>
    </row>
    <row r="578" spans="1:11" x14ac:dyDescent="0.2">
      <c r="A578" s="43">
        <v>46113</v>
      </c>
      <c r="B578" t="s">
        <v>35</v>
      </c>
      <c r="C578" s="40">
        <v>38001013001</v>
      </c>
      <c r="D578" t="s">
        <v>35</v>
      </c>
      <c r="E578" s="39" t="s">
        <v>321</v>
      </c>
      <c r="F578" s="1">
        <v>1159</v>
      </c>
      <c r="G578" t="s">
        <v>14</v>
      </c>
      <c r="H578" s="1">
        <v>47</v>
      </c>
      <c r="I578" s="1">
        <v>1159</v>
      </c>
      <c r="J578" t="s">
        <v>14</v>
      </c>
      <c r="K578" s="41">
        <v>-647.4</v>
      </c>
    </row>
    <row r="579" spans="1:11" x14ac:dyDescent="0.2">
      <c r="A579" s="43">
        <v>46113</v>
      </c>
      <c r="B579" t="s">
        <v>35</v>
      </c>
      <c r="C579" s="40">
        <v>38001013001</v>
      </c>
      <c r="D579" t="s">
        <v>35</v>
      </c>
      <c r="E579" s="39" t="s">
        <v>322</v>
      </c>
      <c r="F579" s="1">
        <v>1159</v>
      </c>
      <c r="G579" t="s">
        <v>14</v>
      </c>
      <c r="H579" s="1">
        <v>47</v>
      </c>
      <c r="I579" s="1">
        <v>1160</v>
      </c>
      <c r="J579" t="s">
        <v>13</v>
      </c>
      <c r="K579" s="41">
        <v>-431.6</v>
      </c>
    </row>
    <row r="580" spans="1:11" x14ac:dyDescent="0.2">
      <c r="A580" s="43">
        <v>46113</v>
      </c>
      <c r="B580" t="s">
        <v>35</v>
      </c>
      <c r="C580" s="40">
        <v>38001013001</v>
      </c>
      <c r="D580" t="s">
        <v>35</v>
      </c>
      <c r="E580" s="39" t="s">
        <v>323</v>
      </c>
      <c r="F580" s="1">
        <v>1159</v>
      </c>
      <c r="G580" t="s">
        <v>14</v>
      </c>
      <c r="H580" s="1">
        <v>47</v>
      </c>
      <c r="I580" s="1">
        <v>1160</v>
      </c>
      <c r="J580" t="s">
        <v>13</v>
      </c>
      <c r="K580" s="41">
        <v>-655.16</v>
      </c>
    </row>
    <row r="581" spans="1:11" x14ac:dyDescent="0.2">
      <c r="A581" s="43">
        <v>46113</v>
      </c>
      <c r="B581" t="s">
        <v>11</v>
      </c>
      <c r="C581" s="40">
        <v>38001004001</v>
      </c>
      <c r="D581" t="s">
        <v>11</v>
      </c>
      <c r="E581" s="39" t="s">
        <v>289</v>
      </c>
      <c r="F581" s="1">
        <v>1159</v>
      </c>
      <c r="G581" t="s">
        <v>14</v>
      </c>
      <c r="H581" s="1">
        <v>47</v>
      </c>
      <c r="I581" s="1">
        <v>1159</v>
      </c>
      <c r="J581" t="s">
        <v>14</v>
      </c>
      <c r="K581" s="41">
        <v>-321249.56</v>
      </c>
    </row>
    <row r="582" spans="1:11" x14ac:dyDescent="0.2">
      <c r="A582" s="43">
        <v>46113</v>
      </c>
      <c r="B582" t="s">
        <v>11</v>
      </c>
      <c r="C582" s="40">
        <v>38001004001</v>
      </c>
      <c r="D582" t="s">
        <v>11</v>
      </c>
      <c r="E582" s="39" t="s">
        <v>293</v>
      </c>
      <c r="F582" s="1">
        <v>1159</v>
      </c>
      <c r="G582" t="s">
        <v>14</v>
      </c>
      <c r="H582" s="1">
        <v>47</v>
      </c>
      <c r="I582" s="1">
        <v>1160</v>
      </c>
      <c r="J582" t="s">
        <v>13</v>
      </c>
      <c r="K582" s="41">
        <v>-118269.67</v>
      </c>
    </row>
    <row r="583" spans="1:11" x14ac:dyDescent="0.2">
      <c r="A583" s="43">
        <v>46113</v>
      </c>
      <c r="B583" t="s">
        <v>66</v>
      </c>
      <c r="C583" s="42">
        <v>38001011004</v>
      </c>
      <c r="D583" t="s">
        <v>65</v>
      </c>
      <c r="E583" t="s">
        <v>324</v>
      </c>
      <c r="F583">
        <v>1159</v>
      </c>
      <c r="G583" t="s">
        <v>14</v>
      </c>
      <c r="H583">
        <v>47</v>
      </c>
      <c r="I583">
        <v>1150</v>
      </c>
      <c r="J583" t="s">
        <v>15</v>
      </c>
      <c r="K583">
        <v>12.32</v>
      </c>
    </row>
    <row r="584" spans="1:11" x14ac:dyDescent="0.2">
      <c r="A584" s="43">
        <v>46113</v>
      </c>
      <c r="B584" t="s">
        <v>66</v>
      </c>
      <c r="C584" s="42">
        <v>38001011004</v>
      </c>
      <c r="D584" t="s">
        <v>65</v>
      </c>
      <c r="E584" t="s">
        <v>324</v>
      </c>
      <c r="F584">
        <v>1159</v>
      </c>
      <c r="G584" t="s">
        <v>14</v>
      </c>
      <c r="H584">
        <v>47</v>
      </c>
      <c r="I584">
        <v>1150</v>
      </c>
      <c r="J584" t="s">
        <v>15</v>
      </c>
      <c r="K584">
        <v>12.32</v>
      </c>
    </row>
    <row r="585" spans="1:11" x14ac:dyDescent="0.2">
      <c r="A585" s="43">
        <v>46113</v>
      </c>
      <c r="B585" t="s">
        <v>66</v>
      </c>
      <c r="C585" s="42">
        <v>38001011004</v>
      </c>
      <c r="D585" t="s">
        <v>65</v>
      </c>
      <c r="E585" t="s">
        <v>226</v>
      </c>
      <c r="F585">
        <v>1159</v>
      </c>
      <c r="G585" t="s">
        <v>14</v>
      </c>
      <c r="H585">
        <v>47</v>
      </c>
      <c r="I585">
        <v>1150</v>
      </c>
      <c r="J585" t="s">
        <v>15</v>
      </c>
      <c r="K585">
        <v>-12.32</v>
      </c>
    </row>
    <row r="586" spans="1:11" x14ac:dyDescent="0.2">
      <c r="A586" s="43">
        <v>46113</v>
      </c>
      <c r="B586" t="s">
        <v>57</v>
      </c>
      <c r="C586" s="42">
        <v>38001018001</v>
      </c>
      <c r="D586" t="s">
        <v>60</v>
      </c>
      <c r="E586" t="s">
        <v>325</v>
      </c>
      <c r="F586">
        <v>1159</v>
      </c>
      <c r="G586" t="s">
        <v>14</v>
      </c>
      <c r="H586">
        <v>47</v>
      </c>
      <c r="I586">
        <v>1159</v>
      </c>
      <c r="J586" t="s">
        <v>14</v>
      </c>
      <c r="K586">
        <v>564.52</v>
      </c>
    </row>
    <row r="587" spans="1:11" x14ac:dyDescent="0.2">
      <c r="A587" s="43">
        <v>46113</v>
      </c>
      <c r="B587" t="s">
        <v>57</v>
      </c>
      <c r="C587" s="42">
        <v>38001018002</v>
      </c>
      <c r="D587" t="s">
        <v>59</v>
      </c>
      <c r="E587" t="s">
        <v>326</v>
      </c>
      <c r="F587">
        <v>1159</v>
      </c>
      <c r="G587" t="s">
        <v>14</v>
      </c>
      <c r="H587">
        <v>47</v>
      </c>
      <c r="I587">
        <v>1159</v>
      </c>
      <c r="J587" t="s">
        <v>14</v>
      </c>
      <c r="K587">
        <v>4495</v>
      </c>
    </row>
    <row r="588" spans="1:11" x14ac:dyDescent="0.2">
      <c r="A588" s="43">
        <v>46113</v>
      </c>
      <c r="B588" t="s">
        <v>57</v>
      </c>
      <c r="C588" s="42">
        <v>38001018007</v>
      </c>
      <c r="D588" t="s">
        <v>56</v>
      </c>
      <c r="E588" t="s">
        <v>327</v>
      </c>
      <c r="F588">
        <v>1159</v>
      </c>
      <c r="G588" t="s">
        <v>14</v>
      </c>
      <c r="H588">
        <v>47</v>
      </c>
      <c r="I588">
        <v>1159</v>
      </c>
      <c r="J588" t="s">
        <v>14</v>
      </c>
      <c r="K588">
        <v>101.18</v>
      </c>
    </row>
    <row r="589" spans="1:11" x14ac:dyDescent="0.2">
      <c r="A589" s="43">
        <v>46113</v>
      </c>
      <c r="B589" t="s">
        <v>41</v>
      </c>
      <c r="C589" s="42">
        <v>38001019001</v>
      </c>
      <c r="D589" t="s">
        <v>55</v>
      </c>
      <c r="E589" t="s">
        <v>328</v>
      </c>
      <c r="F589">
        <v>1159</v>
      </c>
      <c r="G589" t="s">
        <v>14</v>
      </c>
      <c r="H589">
        <v>47</v>
      </c>
      <c r="I589">
        <v>1159</v>
      </c>
      <c r="J589" t="s">
        <v>14</v>
      </c>
      <c r="K589">
        <v>50</v>
      </c>
    </row>
    <row r="590" spans="1:11" x14ac:dyDescent="0.2">
      <c r="A590" s="43">
        <v>46113</v>
      </c>
      <c r="B590" t="s">
        <v>41</v>
      </c>
      <c r="C590" s="42">
        <v>38001019002</v>
      </c>
      <c r="D590" t="s">
        <v>138</v>
      </c>
      <c r="E590" t="s">
        <v>328</v>
      </c>
      <c r="F590">
        <v>1159</v>
      </c>
      <c r="G590" t="s">
        <v>14</v>
      </c>
      <c r="H590">
        <v>47</v>
      </c>
      <c r="I590">
        <v>1159</v>
      </c>
      <c r="J590" t="s">
        <v>14</v>
      </c>
      <c r="K590">
        <v>706</v>
      </c>
    </row>
    <row r="591" spans="1:11" x14ac:dyDescent="0.2">
      <c r="A591" s="43">
        <v>46113</v>
      </c>
      <c r="B591" t="s">
        <v>41</v>
      </c>
      <c r="C591" s="42">
        <v>38001019001</v>
      </c>
      <c r="D591" t="s">
        <v>55</v>
      </c>
      <c r="E591" t="s">
        <v>329</v>
      </c>
      <c r="F591">
        <v>1159</v>
      </c>
      <c r="G591" t="s">
        <v>14</v>
      </c>
      <c r="H591">
        <v>47</v>
      </c>
      <c r="I591">
        <v>1159</v>
      </c>
      <c r="J591" t="s">
        <v>14</v>
      </c>
      <c r="K591">
        <v>1062.77</v>
      </c>
    </row>
    <row r="592" spans="1:11" x14ac:dyDescent="0.2">
      <c r="A592" s="43">
        <v>46113</v>
      </c>
      <c r="B592" t="s">
        <v>41</v>
      </c>
      <c r="C592" s="42">
        <v>38001019002</v>
      </c>
      <c r="D592" t="s">
        <v>138</v>
      </c>
      <c r="E592" t="s">
        <v>330</v>
      </c>
      <c r="F592">
        <v>1159</v>
      </c>
      <c r="G592" t="s">
        <v>14</v>
      </c>
      <c r="H592">
        <v>47</v>
      </c>
      <c r="I592">
        <v>1159</v>
      </c>
      <c r="J592" t="s">
        <v>14</v>
      </c>
      <c r="K592">
        <v>5117.2</v>
      </c>
    </row>
    <row r="593" spans="1:11" x14ac:dyDescent="0.2">
      <c r="A593" s="43">
        <v>46113</v>
      </c>
      <c r="B593" t="s">
        <v>41</v>
      </c>
      <c r="C593" s="42">
        <v>38001019005</v>
      </c>
      <c r="D593" t="s">
        <v>52</v>
      </c>
      <c r="E593" t="s">
        <v>331</v>
      </c>
      <c r="F593">
        <v>1159</v>
      </c>
      <c r="G593" t="s">
        <v>14</v>
      </c>
      <c r="H593">
        <v>47</v>
      </c>
      <c r="I593">
        <v>1159</v>
      </c>
      <c r="J593" t="s">
        <v>14</v>
      </c>
      <c r="K593">
        <v>807.88</v>
      </c>
    </row>
    <row r="594" spans="1:11" x14ac:dyDescent="0.2">
      <c r="A594" s="43">
        <v>46143</v>
      </c>
      <c r="B594" t="s">
        <v>57</v>
      </c>
      <c r="C594" s="1">
        <v>38001018006</v>
      </c>
      <c r="D594" t="s">
        <v>333</v>
      </c>
      <c r="E594" s="39" t="s">
        <v>334</v>
      </c>
      <c r="F594" s="1">
        <v>1159</v>
      </c>
      <c r="G594" t="s">
        <v>14</v>
      </c>
      <c r="H594" s="1">
        <v>47</v>
      </c>
      <c r="I594" s="40">
        <v>1159</v>
      </c>
      <c r="J594" t="s">
        <v>14</v>
      </c>
      <c r="K594" s="41">
        <v>3297.32</v>
      </c>
    </row>
    <row r="595" spans="1:11" x14ac:dyDescent="0.2">
      <c r="A595" s="43">
        <v>46143</v>
      </c>
      <c r="B595" t="s">
        <v>50</v>
      </c>
      <c r="C595" s="1">
        <v>38001008004</v>
      </c>
      <c r="D595" t="s">
        <v>49</v>
      </c>
      <c r="E595" s="39" t="s">
        <v>337</v>
      </c>
      <c r="F595" s="1">
        <v>1159</v>
      </c>
      <c r="G595" t="s">
        <v>14</v>
      </c>
      <c r="H595" s="1">
        <v>47</v>
      </c>
      <c r="I595" s="40">
        <v>1159</v>
      </c>
      <c r="J595" t="s">
        <v>14</v>
      </c>
      <c r="K595" s="41">
        <v>2520</v>
      </c>
    </row>
    <row r="596" spans="1:11" x14ac:dyDescent="0.2">
      <c r="A596" s="43">
        <v>46143</v>
      </c>
      <c r="B596" t="s">
        <v>66</v>
      </c>
      <c r="C596" s="1">
        <v>38001011004</v>
      </c>
      <c r="D596" t="s">
        <v>65</v>
      </c>
      <c r="E596" s="39" t="s">
        <v>338</v>
      </c>
      <c r="F596" s="1">
        <v>1159</v>
      </c>
      <c r="G596" t="s">
        <v>14</v>
      </c>
      <c r="H596" s="1">
        <v>47</v>
      </c>
      <c r="I596" s="40">
        <v>1150</v>
      </c>
      <c r="J596" t="s">
        <v>15</v>
      </c>
      <c r="K596" s="41">
        <v>583.98</v>
      </c>
    </row>
    <row r="597" spans="1:11" x14ac:dyDescent="0.2">
      <c r="A597" s="43">
        <v>46143</v>
      </c>
      <c r="B597" t="s">
        <v>41</v>
      </c>
      <c r="C597" s="1">
        <v>38001019004</v>
      </c>
      <c r="D597" t="s">
        <v>40</v>
      </c>
      <c r="E597" s="39" t="s">
        <v>339</v>
      </c>
      <c r="F597" s="1">
        <v>1159</v>
      </c>
      <c r="G597" t="s">
        <v>14</v>
      </c>
      <c r="H597" s="1">
        <v>47</v>
      </c>
      <c r="I597" s="40">
        <v>1159</v>
      </c>
      <c r="J597" t="s">
        <v>14</v>
      </c>
      <c r="K597" s="41">
        <v>20</v>
      </c>
    </row>
    <row r="598" spans="1:11" x14ac:dyDescent="0.2">
      <c r="A598" s="43">
        <v>46143</v>
      </c>
      <c r="B598" t="s">
        <v>66</v>
      </c>
      <c r="C598" s="1">
        <v>38001011004</v>
      </c>
      <c r="D598" t="s">
        <v>65</v>
      </c>
      <c r="E598" s="39" t="s">
        <v>340</v>
      </c>
      <c r="F598" s="1">
        <v>1159</v>
      </c>
      <c r="G598" t="s">
        <v>14</v>
      </c>
      <c r="H598" s="1">
        <v>47</v>
      </c>
      <c r="I598" s="40">
        <v>1150</v>
      </c>
      <c r="J598" t="s">
        <v>15</v>
      </c>
      <c r="K598" s="41">
        <v>200</v>
      </c>
    </row>
    <row r="599" spans="1:11" x14ac:dyDescent="0.2">
      <c r="A599" s="43">
        <v>46143</v>
      </c>
      <c r="B599" t="s">
        <v>41</v>
      </c>
      <c r="C599" s="1">
        <v>38001019001</v>
      </c>
      <c r="D599" t="s">
        <v>55</v>
      </c>
      <c r="E599" s="39" t="s">
        <v>341</v>
      </c>
      <c r="F599" s="1">
        <v>1159</v>
      </c>
      <c r="G599" t="s">
        <v>14</v>
      </c>
      <c r="H599" s="1">
        <v>47</v>
      </c>
      <c r="I599" s="40">
        <v>1159</v>
      </c>
      <c r="J599" t="s">
        <v>14</v>
      </c>
      <c r="K599" s="41">
        <v>2.4700000000000002</v>
      </c>
    </row>
    <row r="600" spans="1:11" x14ac:dyDescent="0.2">
      <c r="A600" s="43">
        <v>46143</v>
      </c>
      <c r="B600" t="s">
        <v>41</v>
      </c>
      <c r="C600" s="1">
        <v>38001019002</v>
      </c>
      <c r="D600" t="s">
        <v>138</v>
      </c>
      <c r="E600" s="39" t="s">
        <v>341</v>
      </c>
      <c r="F600" s="1">
        <v>1159</v>
      </c>
      <c r="G600" t="s">
        <v>14</v>
      </c>
      <c r="H600" s="1">
        <v>47</v>
      </c>
      <c r="I600" s="40">
        <v>1159</v>
      </c>
      <c r="J600" t="s">
        <v>14</v>
      </c>
      <c r="K600" s="41">
        <v>3455.58</v>
      </c>
    </row>
    <row r="601" spans="1:11" x14ac:dyDescent="0.2">
      <c r="A601" s="43">
        <v>46143</v>
      </c>
      <c r="B601" t="s">
        <v>66</v>
      </c>
      <c r="C601" s="1">
        <v>38001011004</v>
      </c>
      <c r="D601" t="s">
        <v>65</v>
      </c>
      <c r="E601" s="39" t="s">
        <v>342</v>
      </c>
      <c r="F601" s="1">
        <v>1159</v>
      </c>
      <c r="G601" t="s">
        <v>14</v>
      </c>
      <c r="H601" s="1">
        <v>47</v>
      </c>
      <c r="I601" s="40">
        <v>1150</v>
      </c>
      <c r="J601" t="s">
        <v>15</v>
      </c>
      <c r="K601" s="41">
        <v>273.55</v>
      </c>
    </row>
    <row r="602" spans="1:11" x14ac:dyDescent="0.2">
      <c r="A602" s="43">
        <v>46143</v>
      </c>
      <c r="B602" t="s">
        <v>66</v>
      </c>
      <c r="C602" s="1">
        <v>38001011004</v>
      </c>
      <c r="D602" t="s">
        <v>65</v>
      </c>
      <c r="E602" s="39" t="s">
        <v>343</v>
      </c>
      <c r="F602" s="1">
        <v>1159</v>
      </c>
      <c r="G602" t="s">
        <v>14</v>
      </c>
      <c r="H602" s="1">
        <v>47</v>
      </c>
      <c r="I602" s="40">
        <v>1159</v>
      </c>
      <c r="J602" t="s">
        <v>14</v>
      </c>
      <c r="K602" s="41">
        <v>2016</v>
      </c>
    </row>
    <row r="603" spans="1:11" x14ac:dyDescent="0.2">
      <c r="A603" s="43">
        <v>46143</v>
      </c>
      <c r="B603" t="s">
        <v>66</v>
      </c>
      <c r="C603" s="1">
        <v>38001011003</v>
      </c>
      <c r="D603" t="s">
        <v>68</v>
      </c>
      <c r="E603" s="39" t="s">
        <v>344</v>
      </c>
      <c r="F603" s="1">
        <v>1159</v>
      </c>
      <c r="G603" t="s">
        <v>14</v>
      </c>
      <c r="H603" s="1">
        <v>47</v>
      </c>
      <c r="I603" s="40">
        <v>1150</v>
      </c>
      <c r="J603" t="s">
        <v>15</v>
      </c>
      <c r="K603" s="41">
        <v>11720.84</v>
      </c>
    </row>
    <row r="604" spans="1:11" x14ac:dyDescent="0.2">
      <c r="A604" s="43">
        <v>46143</v>
      </c>
      <c r="B604" t="s">
        <v>66</v>
      </c>
      <c r="C604" s="1">
        <v>38001011004</v>
      </c>
      <c r="D604" t="s">
        <v>65</v>
      </c>
      <c r="E604" s="39" t="s">
        <v>345</v>
      </c>
      <c r="F604" s="1">
        <v>1159</v>
      </c>
      <c r="G604" t="s">
        <v>14</v>
      </c>
      <c r="H604" s="1">
        <v>47</v>
      </c>
      <c r="I604" s="40">
        <v>1150</v>
      </c>
      <c r="J604" t="s">
        <v>15</v>
      </c>
      <c r="K604" s="41">
        <v>273.55</v>
      </c>
    </row>
    <row r="605" spans="1:11" x14ac:dyDescent="0.2">
      <c r="A605" s="43">
        <v>46143</v>
      </c>
      <c r="B605" t="s">
        <v>46</v>
      </c>
      <c r="C605" s="1">
        <v>38001002001</v>
      </c>
      <c r="D605" t="s">
        <v>48</v>
      </c>
      <c r="E605" s="39" t="s">
        <v>346</v>
      </c>
      <c r="F605" s="1">
        <v>1159</v>
      </c>
      <c r="G605" t="s">
        <v>14</v>
      </c>
      <c r="H605" s="1">
        <v>47</v>
      </c>
      <c r="I605" s="40">
        <v>1150</v>
      </c>
      <c r="J605" t="s">
        <v>15</v>
      </c>
      <c r="K605" s="41">
        <v>138.74</v>
      </c>
    </row>
    <row r="606" spans="1:11" x14ac:dyDescent="0.2">
      <c r="A606" s="43">
        <v>46143</v>
      </c>
      <c r="B606" t="s">
        <v>46</v>
      </c>
      <c r="C606" s="1">
        <v>38001002001</v>
      </c>
      <c r="D606" t="s">
        <v>48</v>
      </c>
      <c r="E606" s="39" t="s">
        <v>347</v>
      </c>
      <c r="F606" s="1">
        <v>1159</v>
      </c>
      <c r="G606" t="s">
        <v>14</v>
      </c>
      <c r="H606" s="1">
        <v>47</v>
      </c>
      <c r="I606" s="40">
        <v>1150</v>
      </c>
      <c r="J606" t="s">
        <v>15</v>
      </c>
      <c r="K606" s="41">
        <v>656.36</v>
      </c>
    </row>
    <row r="607" spans="1:11" x14ac:dyDescent="0.2">
      <c r="A607" s="43">
        <v>46143</v>
      </c>
      <c r="B607" t="s">
        <v>66</v>
      </c>
      <c r="C607" s="1">
        <v>38001011002</v>
      </c>
      <c r="D607" t="s">
        <v>67</v>
      </c>
      <c r="E607" s="39" t="s">
        <v>348</v>
      </c>
      <c r="F607" s="1">
        <v>1159</v>
      </c>
      <c r="G607" t="s">
        <v>14</v>
      </c>
      <c r="H607" s="1">
        <v>47</v>
      </c>
      <c r="I607" s="40">
        <v>1160</v>
      </c>
      <c r="J607" t="s">
        <v>13</v>
      </c>
      <c r="K607" s="41">
        <v>5000</v>
      </c>
    </row>
    <row r="608" spans="1:11" x14ac:dyDescent="0.2">
      <c r="A608" s="43">
        <v>46143</v>
      </c>
      <c r="B608" t="s">
        <v>66</v>
      </c>
      <c r="C608" s="1">
        <v>38001011002</v>
      </c>
      <c r="D608" t="s">
        <v>67</v>
      </c>
      <c r="E608" s="39" t="s">
        <v>335</v>
      </c>
      <c r="F608" s="1">
        <v>1159</v>
      </c>
      <c r="G608" t="s">
        <v>14</v>
      </c>
      <c r="H608" s="1">
        <v>47</v>
      </c>
      <c r="I608" s="40">
        <v>1150</v>
      </c>
      <c r="J608" t="s">
        <v>15</v>
      </c>
      <c r="K608" s="41">
        <v>861.84</v>
      </c>
    </row>
    <row r="609" spans="1:11" x14ac:dyDescent="0.2">
      <c r="A609" s="43">
        <v>46143</v>
      </c>
      <c r="B609" t="s">
        <v>66</v>
      </c>
      <c r="C609" s="1">
        <v>38001011003</v>
      </c>
      <c r="D609" t="s">
        <v>68</v>
      </c>
      <c r="E609" s="39" t="s">
        <v>335</v>
      </c>
      <c r="F609" s="1">
        <v>1159</v>
      </c>
      <c r="G609" t="s">
        <v>14</v>
      </c>
      <c r="H609" s="1">
        <v>47</v>
      </c>
      <c r="I609" s="40">
        <v>1150</v>
      </c>
      <c r="J609" t="s">
        <v>15</v>
      </c>
      <c r="K609" s="41">
        <v>16.899999999999999</v>
      </c>
    </row>
    <row r="610" spans="1:11" x14ac:dyDescent="0.2">
      <c r="A610" s="43">
        <v>46143</v>
      </c>
      <c r="B610" t="s">
        <v>66</v>
      </c>
      <c r="C610" s="1">
        <v>38001011003</v>
      </c>
      <c r="D610" t="s">
        <v>68</v>
      </c>
      <c r="E610" s="39" t="s">
        <v>335</v>
      </c>
      <c r="F610" s="1">
        <v>1159</v>
      </c>
      <c r="G610" t="s">
        <v>14</v>
      </c>
      <c r="H610" s="1">
        <v>47</v>
      </c>
      <c r="I610" s="40">
        <v>1160</v>
      </c>
      <c r="J610" t="s">
        <v>13</v>
      </c>
      <c r="K610" s="41">
        <v>1500</v>
      </c>
    </row>
    <row r="611" spans="1:11" x14ac:dyDescent="0.2">
      <c r="A611" s="43">
        <v>46143</v>
      </c>
      <c r="B611" t="s">
        <v>0</v>
      </c>
      <c r="C611" s="1">
        <v>38001001004</v>
      </c>
      <c r="D611" t="s">
        <v>62</v>
      </c>
      <c r="E611" s="39" t="s">
        <v>335</v>
      </c>
      <c r="F611" s="1">
        <v>1159</v>
      </c>
      <c r="G611" t="s">
        <v>14</v>
      </c>
      <c r="H611" s="1">
        <v>47</v>
      </c>
      <c r="I611" s="40">
        <v>1150</v>
      </c>
      <c r="J611" t="s">
        <v>15</v>
      </c>
      <c r="K611" s="41">
        <v>88.44</v>
      </c>
    </row>
    <row r="612" spans="1:11" x14ac:dyDescent="0.2">
      <c r="A612" s="43">
        <v>46143</v>
      </c>
      <c r="B612" t="s">
        <v>66</v>
      </c>
      <c r="C612" s="1">
        <v>38001011004</v>
      </c>
      <c r="D612" t="s">
        <v>65</v>
      </c>
      <c r="E612" s="39" t="s">
        <v>349</v>
      </c>
      <c r="F612" s="1">
        <v>1159</v>
      </c>
      <c r="G612" t="s">
        <v>14</v>
      </c>
      <c r="H612" s="1">
        <v>47</v>
      </c>
      <c r="I612" s="40">
        <v>1150</v>
      </c>
      <c r="J612" t="s">
        <v>15</v>
      </c>
      <c r="K612" s="41">
        <v>164.05</v>
      </c>
    </row>
    <row r="613" spans="1:11" x14ac:dyDescent="0.2">
      <c r="A613" s="43">
        <v>46143</v>
      </c>
      <c r="B613" t="s">
        <v>107</v>
      </c>
      <c r="C613" s="1">
        <v>38001025004</v>
      </c>
      <c r="D613" t="s">
        <v>108</v>
      </c>
      <c r="E613" s="39" t="s">
        <v>352</v>
      </c>
      <c r="F613" s="1">
        <v>1159</v>
      </c>
      <c r="G613" t="s">
        <v>14</v>
      </c>
      <c r="H613" s="1">
        <v>47</v>
      </c>
      <c r="I613" s="40">
        <v>1150</v>
      </c>
      <c r="J613" t="s">
        <v>15</v>
      </c>
      <c r="K613" s="41">
        <v>442.66</v>
      </c>
    </row>
    <row r="614" spans="1:11" x14ac:dyDescent="0.2">
      <c r="A614" s="43">
        <v>46143</v>
      </c>
      <c r="B614" t="s">
        <v>107</v>
      </c>
      <c r="C614" s="1">
        <v>38001025004</v>
      </c>
      <c r="D614" t="s">
        <v>108</v>
      </c>
      <c r="E614" s="39" t="s">
        <v>352</v>
      </c>
      <c r="F614" s="1">
        <v>1159</v>
      </c>
      <c r="G614" t="s">
        <v>14</v>
      </c>
      <c r="H614" s="1">
        <v>47</v>
      </c>
      <c r="I614" s="40">
        <v>1159</v>
      </c>
      <c r="J614" t="s">
        <v>14</v>
      </c>
      <c r="K614" s="41">
        <v>433.15</v>
      </c>
    </row>
    <row r="615" spans="1:11" x14ac:dyDescent="0.2">
      <c r="A615" s="43">
        <v>46143</v>
      </c>
      <c r="B615" t="s">
        <v>107</v>
      </c>
      <c r="C615" s="1">
        <v>38001025004</v>
      </c>
      <c r="D615" t="s">
        <v>108</v>
      </c>
      <c r="E615" s="39" t="s">
        <v>352</v>
      </c>
      <c r="F615" s="1">
        <v>1159</v>
      </c>
      <c r="G615" t="s">
        <v>14</v>
      </c>
      <c r="H615" s="1">
        <v>47</v>
      </c>
      <c r="I615" s="40">
        <v>1160</v>
      </c>
      <c r="J615" t="s">
        <v>13</v>
      </c>
      <c r="K615" s="41">
        <v>403.65</v>
      </c>
    </row>
    <row r="616" spans="1:11" x14ac:dyDescent="0.2">
      <c r="A616" s="43">
        <v>46143</v>
      </c>
      <c r="B616" t="s">
        <v>107</v>
      </c>
      <c r="C616" s="1">
        <v>38001025002</v>
      </c>
      <c r="D616" t="s">
        <v>115</v>
      </c>
      <c r="E616" s="39" t="s">
        <v>350</v>
      </c>
      <c r="F616" s="1">
        <v>1159</v>
      </c>
      <c r="G616" t="s">
        <v>14</v>
      </c>
      <c r="H616" s="1">
        <v>47</v>
      </c>
      <c r="I616" s="40">
        <v>1150</v>
      </c>
      <c r="J616" t="s">
        <v>15</v>
      </c>
      <c r="K616" s="41">
        <v>5521.88</v>
      </c>
    </row>
    <row r="617" spans="1:11" x14ac:dyDescent="0.2">
      <c r="A617" s="43">
        <v>46143</v>
      </c>
      <c r="B617" t="s">
        <v>107</v>
      </c>
      <c r="C617" s="1">
        <v>38001025002</v>
      </c>
      <c r="D617" t="s">
        <v>115</v>
      </c>
      <c r="E617" s="39" t="s">
        <v>351</v>
      </c>
      <c r="F617" s="1">
        <v>1159</v>
      </c>
      <c r="G617" t="s">
        <v>14</v>
      </c>
      <c r="H617" s="1">
        <v>47</v>
      </c>
      <c r="I617" s="40">
        <v>1150</v>
      </c>
      <c r="J617" t="s">
        <v>15</v>
      </c>
      <c r="K617" s="41">
        <v>-5048.75</v>
      </c>
    </row>
    <row r="618" spans="1:11" x14ac:dyDescent="0.2">
      <c r="A618" s="43">
        <v>46143</v>
      </c>
      <c r="B618" t="s">
        <v>107</v>
      </c>
      <c r="C618" s="1">
        <v>38001025002</v>
      </c>
      <c r="D618" t="s">
        <v>115</v>
      </c>
      <c r="E618" s="39" t="s">
        <v>350</v>
      </c>
      <c r="F618" s="1">
        <v>1159</v>
      </c>
      <c r="G618" t="s">
        <v>14</v>
      </c>
      <c r="H618" s="1">
        <v>47</v>
      </c>
      <c r="I618" s="40">
        <v>1159</v>
      </c>
      <c r="J618" t="s">
        <v>14</v>
      </c>
      <c r="K618" s="41">
        <v>5877.3</v>
      </c>
    </row>
    <row r="619" spans="1:11" x14ac:dyDescent="0.2">
      <c r="A619" s="43">
        <v>46143</v>
      </c>
      <c r="B619" t="s">
        <v>107</v>
      </c>
      <c r="C619" s="1">
        <v>38001025002</v>
      </c>
      <c r="D619" t="s">
        <v>115</v>
      </c>
      <c r="E619" s="39" t="s">
        <v>351</v>
      </c>
      <c r="F619" s="1">
        <v>1159</v>
      </c>
      <c r="G619" t="s">
        <v>14</v>
      </c>
      <c r="H619" s="1">
        <v>47</v>
      </c>
      <c r="I619" s="40">
        <v>1159</v>
      </c>
      <c r="J619" t="s">
        <v>14</v>
      </c>
      <c r="K619" s="41">
        <v>-5414.3</v>
      </c>
    </row>
    <row r="620" spans="1:11" x14ac:dyDescent="0.2">
      <c r="A620" s="43">
        <v>46143</v>
      </c>
      <c r="B620" t="s">
        <v>107</v>
      </c>
      <c r="C620" s="1">
        <v>38001025002</v>
      </c>
      <c r="D620" t="s">
        <v>115</v>
      </c>
      <c r="E620" s="39" t="s">
        <v>350</v>
      </c>
      <c r="F620" s="1">
        <v>1159</v>
      </c>
      <c r="G620" t="s">
        <v>14</v>
      </c>
      <c r="H620" s="1">
        <v>47</v>
      </c>
      <c r="I620" s="40">
        <v>1160</v>
      </c>
      <c r="J620" t="s">
        <v>13</v>
      </c>
      <c r="K620" s="41">
        <v>5477.07</v>
      </c>
    </row>
    <row r="621" spans="1:11" x14ac:dyDescent="0.2">
      <c r="A621" s="43">
        <v>46143</v>
      </c>
      <c r="B621" t="s">
        <v>107</v>
      </c>
      <c r="C621" s="1">
        <v>38001025002</v>
      </c>
      <c r="D621" t="s">
        <v>115</v>
      </c>
      <c r="E621" s="39" t="s">
        <v>351</v>
      </c>
      <c r="F621" s="1">
        <v>1159</v>
      </c>
      <c r="G621" t="s">
        <v>14</v>
      </c>
      <c r="H621" s="1">
        <v>47</v>
      </c>
      <c r="I621" s="40">
        <v>1160</v>
      </c>
      <c r="J621" t="s">
        <v>13</v>
      </c>
      <c r="K621" s="41">
        <v>-5045.59</v>
      </c>
    </row>
    <row r="622" spans="1:11" x14ac:dyDescent="0.2">
      <c r="A622" s="43">
        <v>46143</v>
      </c>
      <c r="B622" t="s">
        <v>35</v>
      </c>
      <c r="C622" s="1">
        <v>38001013001</v>
      </c>
      <c r="D622" t="s">
        <v>35</v>
      </c>
      <c r="E622" s="39" t="s">
        <v>354</v>
      </c>
      <c r="F622" s="1">
        <v>1159</v>
      </c>
      <c r="G622" t="s">
        <v>14</v>
      </c>
      <c r="H622" s="1">
        <v>47</v>
      </c>
      <c r="I622" s="40">
        <v>1150</v>
      </c>
      <c r="J622" t="s">
        <v>15</v>
      </c>
      <c r="K622" s="41">
        <v>0.67</v>
      </c>
    </row>
    <row r="623" spans="1:11" x14ac:dyDescent="0.2">
      <c r="A623" s="43">
        <v>46143</v>
      </c>
      <c r="B623" t="s">
        <v>35</v>
      </c>
      <c r="C623" s="1">
        <v>38001013001</v>
      </c>
      <c r="D623" t="s">
        <v>35</v>
      </c>
      <c r="E623" s="39" t="s">
        <v>355</v>
      </c>
      <c r="F623" s="1">
        <v>1159</v>
      </c>
      <c r="G623" t="s">
        <v>14</v>
      </c>
      <c r="H623" s="1">
        <v>47</v>
      </c>
      <c r="I623" s="40">
        <v>1150</v>
      </c>
      <c r="J623" t="s">
        <v>15</v>
      </c>
      <c r="K623" s="41">
        <v>71161.119999999995</v>
      </c>
    </row>
    <row r="624" spans="1:11" x14ac:dyDescent="0.2">
      <c r="A624" s="43">
        <v>46143</v>
      </c>
      <c r="B624" t="s">
        <v>35</v>
      </c>
      <c r="C624" s="1">
        <v>38001013001</v>
      </c>
      <c r="D624" t="s">
        <v>35</v>
      </c>
      <c r="E624" s="39" t="s">
        <v>356</v>
      </c>
      <c r="F624" s="1">
        <v>1159</v>
      </c>
      <c r="G624" t="s">
        <v>14</v>
      </c>
      <c r="H624" s="1">
        <v>47</v>
      </c>
      <c r="I624" s="40">
        <v>1150</v>
      </c>
      <c r="J624" t="s">
        <v>15</v>
      </c>
      <c r="K624" s="41">
        <v>-0.67</v>
      </c>
    </row>
    <row r="625" spans="1:11" x14ac:dyDescent="0.2">
      <c r="A625" s="43">
        <v>46143</v>
      </c>
      <c r="B625" t="s">
        <v>35</v>
      </c>
      <c r="C625" s="1">
        <v>38001013002</v>
      </c>
      <c r="D625" t="s">
        <v>34</v>
      </c>
      <c r="E625" s="39" t="s">
        <v>356</v>
      </c>
      <c r="F625" s="1">
        <v>1159</v>
      </c>
      <c r="G625" t="s">
        <v>14</v>
      </c>
      <c r="H625" s="1">
        <v>47</v>
      </c>
      <c r="I625" s="40">
        <v>1150</v>
      </c>
      <c r="J625" t="s">
        <v>15</v>
      </c>
      <c r="K625" s="41">
        <v>0.67</v>
      </c>
    </row>
    <row r="626" spans="1:11" x14ac:dyDescent="0.2">
      <c r="A626" s="43">
        <v>46143</v>
      </c>
      <c r="B626" t="s">
        <v>35</v>
      </c>
      <c r="C626" s="1">
        <v>38001013002</v>
      </c>
      <c r="D626" t="s">
        <v>34</v>
      </c>
      <c r="E626" s="39" t="s">
        <v>354</v>
      </c>
      <c r="F626" s="1">
        <v>1159</v>
      </c>
      <c r="G626" t="s">
        <v>14</v>
      </c>
      <c r="H626" s="1">
        <v>47</v>
      </c>
      <c r="I626" s="40">
        <v>1150</v>
      </c>
      <c r="J626" t="s">
        <v>15</v>
      </c>
      <c r="K626" s="41">
        <v>-0.67</v>
      </c>
    </row>
    <row r="627" spans="1:11" x14ac:dyDescent="0.2">
      <c r="A627" s="43">
        <v>46143</v>
      </c>
      <c r="B627" t="s">
        <v>35</v>
      </c>
      <c r="C627" s="1">
        <v>38001013002</v>
      </c>
      <c r="D627" t="s">
        <v>34</v>
      </c>
      <c r="E627" s="39" t="s">
        <v>355</v>
      </c>
      <c r="F627" s="1">
        <v>1159</v>
      </c>
      <c r="G627" t="s">
        <v>14</v>
      </c>
      <c r="H627" s="1">
        <v>47</v>
      </c>
      <c r="I627" s="40">
        <v>1150</v>
      </c>
      <c r="J627" t="s">
        <v>15</v>
      </c>
      <c r="K627" s="41">
        <v>-71161.119999999995</v>
      </c>
    </row>
    <row r="628" spans="1:11" x14ac:dyDescent="0.2">
      <c r="A628" s="43">
        <v>46143</v>
      </c>
      <c r="B628" t="s">
        <v>35</v>
      </c>
      <c r="C628" s="1">
        <v>38001013001</v>
      </c>
      <c r="D628" t="s">
        <v>35</v>
      </c>
      <c r="E628" s="39" t="s">
        <v>357</v>
      </c>
      <c r="F628" s="1">
        <v>1159</v>
      </c>
      <c r="G628" t="s">
        <v>14</v>
      </c>
      <c r="H628" s="1">
        <v>47</v>
      </c>
      <c r="I628" s="40">
        <v>1159</v>
      </c>
      <c r="J628" t="s">
        <v>14</v>
      </c>
      <c r="K628" s="41">
        <v>49662.17</v>
      </c>
    </row>
    <row r="629" spans="1:11" x14ac:dyDescent="0.2">
      <c r="A629" s="43">
        <v>46143</v>
      </c>
      <c r="B629" t="s">
        <v>35</v>
      </c>
      <c r="C629" s="1">
        <v>38001013002</v>
      </c>
      <c r="D629" t="s">
        <v>34</v>
      </c>
      <c r="E629" s="39" t="s">
        <v>357</v>
      </c>
      <c r="F629" s="1">
        <v>1159</v>
      </c>
      <c r="G629" t="s">
        <v>14</v>
      </c>
      <c r="H629" s="1">
        <v>47</v>
      </c>
      <c r="I629" s="40">
        <v>1159</v>
      </c>
      <c r="J629" t="s">
        <v>14</v>
      </c>
      <c r="K629" s="41">
        <v>-49662.17</v>
      </c>
    </row>
    <row r="630" spans="1:11" x14ac:dyDescent="0.2">
      <c r="A630" s="43">
        <v>46143</v>
      </c>
      <c r="B630" t="s">
        <v>35</v>
      </c>
      <c r="C630" s="1">
        <v>38001013001</v>
      </c>
      <c r="D630" t="s">
        <v>35</v>
      </c>
      <c r="E630" s="39" t="s">
        <v>358</v>
      </c>
      <c r="F630" s="1">
        <v>1159</v>
      </c>
      <c r="G630" t="s">
        <v>14</v>
      </c>
      <c r="H630" s="1">
        <v>47</v>
      </c>
      <c r="I630" s="40">
        <v>1160</v>
      </c>
      <c r="J630" t="s">
        <v>13</v>
      </c>
      <c r="K630" s="41">
        <v>47713.25</v>
      </c>
    </row>
    <row r="631" spans="1:11" x14ac:dyDescent="0.2">
      <c r="A631" s="43">
        <v>46143</v>
      </c>
      <c r="B631" t="s">
        <v>35</v>
      </c>
      <c r="C631" s="1">
        <v>38001013001</v>
      </c>
      <c r="D631" t="s">
        <v>35</v>
      </c>
      <c r="E631" s="39" t="s">
        <v>359</v>
      </c>
      <c r="F631" s="1">
        <v>1159</v>
      </c>
      <c r="G631" t="s">
        <v>14</v>
      </c>
      <c r="H631" s="1">
        <v>47</v>
      </c>
      <c r="I631" s="40">
        <v>1160</v>
      </c>
      <c r="J631" t="s">
        <v>13</v>
      </c>
      <c r="K631" s="41">
        <v>-9</v>
      </c>
    </row>
    <row r="632" spans="1:11" x14ac:dyDescent="0.2">
      <c r="A632" s="43">
        <v>46143</v>
      </c>
      <c r="B632" t="s">
        <v>35</v>
      </c>
      <c r="C632" s="1">
        <v>38001013001</v>
      </c>
      <c r="D632" t="s">
        <v>35</v>
      </c>
      <c r="E632" s="39" t="s">
        <v>360</v>
      </c>
      <c r="F632" s="1">
        <v>1159</v>
      </c>
      <c r="G632" t="s">
        <v>14</v>
      </c>
      <c r="H632" s="1">
        <v>47</v>
      </c>
      <c r="I632" s="40">
        <v>1160</v>
      </c>
      <c r="J632" t="s">
        <v>13</v>
      </c>
      <c r="K632" s="41">
        <v>-206.02</v>
      </c>
    </row>
    <row r="633" spans="1:11" x14ac:dyDescent="0.2">
      <c r="A633" s="43">
        <v>46143</v>
      </c>
      <c r="B633" t="s">
        <v>35</v>
      </c>
      <c r="C633" s="1">
        <v>38001013002</v>
      </c>
      <c r="D633" t="s">
        <v>34</v>
      </c>
      <c r="E633" s="39" t="s">
        <v>359</v>
      </c>
      <c r="F633" s="1">
        <v>1159</v>
      </c>
      <c r="G633" t="s">
        <v>14</v>
      </c>
      <c r="H633" s="1">
        <v>47</v>
      </c>
      <c r="I633" s="40">
        <v>1160</v>
      </c>
      <c r="J633" t="s">
        <v>13</v>
      </c>
      <c r="K633" s="41">
        <v>9</v>
      </c>
    </row>
    <row r="634" spans="1:11" x14ac:dyDescent="0.2">
      <c r="A634" s="43">
        <v>46143</v>
      </c>
      <c r="B634" t="s">
        <v>35</v>
      </c>
      <c r="C634" s="1">
        <v>38001013002</v>
      </c>
      <c r="D634" t="s">
        <v>34</v>
      </c>
      <c r="E634" s="39" t="s">
        <v>360</v>
      </c>
      <c r="F634" s="1">
        <v>1159</v>
      </c>
      <c r="G634" t="s">
        <v>14</v>
      </c>
      <c r="H634" s="1">
        <v>47</v>
      </c>
      <c r="I634" s="40">
        <v>1160</v>
      </c>
      <c r="J634" t="s">
        <v>13</v>
      </c>
      <c r="K634" s="41">
        <v>206.02</v>
      </c>
    </row>
    <row r="635" spans="1:11" x14ac:dyDescent="0.2">
      <c r="A635" s="43">
        <v>46143</v>
      </c>
      <c r="B635" t="s">
        <v>35</v>
      </c>
      <c r="C635" s="1">
        <v>38001013002</v>
      </c>
      <c r="D635" t="s">
        <v>34</v>
      </c>
      <c r="E635" s="39" t="s">
        <v>358</v>
      </c>
      <c r="F635" s="1">
        <v>1159</v>
      </c>
      <c r="G635" t="s">
        <v>14</v>
      </c>
      <c r="H635" s="1">
        <v>47</v>
      </c>
      <c r="I635" s="40">
        <v>1160</v>
      </c>
      <c r="J635" t="s">
        <v>13</v>
      </c>
      <c r="K635" s="41">
        <v>-47713.25</v>
      </c>
    </row>
    <row r="636" spans="1:11" x14ac:dyDescent="0.2">
      <c r="A636" s="43">
        <v>46143</v>
      </c>
      <c r="B636" t="s">
        <v>66</v>
      </c>
      <c r="C636" s="1">
        <v>38001011002</v>
      </c>
      <c r="D636" t="s">
        <v>67</v>
      </c>
      <c r="E636" s="39" t="s">
        <v>364</v>
      </c>
      <c r="F636" s="1">
        <v>1159</v>
      </c>
      <c r="G636" t="s">
        <v>14</v>
      </c>
      <c r="H636" s="1">
        <v>47</v>
      </c>
      <c r="I636" s="40">
        <v>1150</v>
      </c>
      <c r="J636" t="s">
        <v>15</v>
      </c>
      <c r="K636" s="41">
        <v>37576.11</v>
      </c>
    </row>
    <row r="637" spans="1:11" x14ac:dyDescent="0.2">
      <c r="A637" s="43">
        <v>46143</v>
      </c>
      <c r="B637" t="s">
        <v>66</v>
      </c>
      <c r="C637" s="1">
        <v>38001011002</v>
      </c>
      <c r="D637" t="s">
        <v>67</v>
      </c>
      <c r="E637" s="39" t="s">
        <v>365</v>
      </c>
      <c r="F637" s="1">
        <v>1159</v>
      </c>
      <c r="G637" t="s">
        <v>14</v>
      </c>
      <c r="H637" s="1">
        <v>47</v>
      </c>
      <c r="I637" s="40">
        <v>1150</v>
      </c>
      <c r="J637" t="s">
        <v>15</v>
      </c>
      <c r="K637" s="41">
        <v>43926.239999999998</v>
      </c>
    </row>
    <row r="638" spans="1:11" x14ac:dyDescent="0.2">
      <c r="A638" s="43">
        <v>46143</v>
      </c>
      <c r="B638" t="s">
        <v>57</v>
      </c>
      <c r="C638" s="1">
        <v>38001018007</v>
      </c>
      <c r="D638" t="s">
        <v>56</v>
      </c>
      <c r="E638" s="39" t="s">
        <v>366</v>
      </c>
      <c r="F638" s="1">
        <v>1159</v>
      </c>
      <c r="G638" t="s">
        <v>14</v>
      </c>
      <c r="H638" s="1">
        <v>47</v>
      </c>
      <c r="I638" s="40">
        <v>1159</v>
      </c>
      <c r="J638" t="s">
        <v>14</v>
      </c>
      <c r="K638" s="41">
        <v>846.7</v>
      </c>
    </row>
    <row r="639" spans="1:11" x14ac:dyDescent="0.2">
      <c r="A639" s="43">
        <v>46143</v>
      </c>
      <c r="B639" t="s">
        <v>125</v>
      </c>
      <c r="C639" s="1">
        <v>38001027005</v>
      </c>
      <c r="D639" t="s">
        <v>188</v>
      </c>
      <c r="E639" s="39" t="s">
        <v>336</v>
      </c>
      <c r="F639" s="1">
        <v>1159</v>
      </c>
      <c r="G639" t="s">
        <v>14</v>
      </c>
      <c r="H639" s="1">
        <v>47</v>
      </c>
      <c r="I639" s="40">
        <v>1150</v>
      </c>
      <c r="J639" t="s">
        <v>15</v>
      </c>
      <c r="K639" s="41">
        <v>192.72</v>
      </c>
    </row>
    <row r="640" spans="1:11" x14ac:dyDescent="0.2">
      <c r="A640" s="43">
        <v>46143</v>
      </c>
      <c r="B640" t="s">
        <v>125</v>
      </c>
      <c r="C640" s="1">
        <v>38001027005</v>
      </c>
      <c r="D640" t="s">
        <v>188</v>
      </c>
      <c r="E640" s="39" t="s">
        <v>336</v>
      </c>
      <c r="F640" s="1">
        <v>1159</v>
      </c>
      <c r="G640" t="s">
        <v>14</v>
      </c>
      <c r="H640" s="1">
        <v>47</v>
      </c>
      <c r="I640" s="40">
        <v>1160</v>
      </c>
      <c r="J640" t="s">
        <v>13</v>
      </c>
      <c r="K640" s="41">
        <v>157.68</v>
      </c>
    </row>
    <row r="641" spans="1:11" x14ac:dyDescent="0.2">
      <c r="A641" s="43">
        <v>46143</v>
      </c>
      <c r="B641" t="s">
        <v>66</v>
      </c>
      <c r="C641" s="1">
        <v>38001011004</v>
      </c>
      <c r="D641" t="s">
        <v>65</v>
      </c>
      <c r="E641" s="39" t="s">
        <v>367</v>
      </c>
      <c r="F641" s="1">
        <v>1159</v>
      </c>
      <c r="G641" t="s">
        <v>14</v>
      </c>
      <c r="H641" s="1">
        <v>47</v>
      </c>
      <c r="I641" s="40">
        <v>1150</v>
      </c>
      <c r="J641" t="s">
        <v>15</v>
      </c>
      <c r="K641" s="41">
        <v>6237.05</v>
      </c>
    </row>
    <row r="642" spans="1:11" x14ac:dyDescent="0.2">
      <c r="A642" s="43">
        <v>46143</v>
      </c>
      <c r="B642" t="s">
        <v>125</v>
      </c>
      <c r="C642" s="1">
        <v>38001027003</v>
      </c>
      <c r="D642" t="s">
        <v>186</v>
      </c>
      <c r="E642" s="39" t="s">
        <v>361</v>
      </c>
      <c r="F642" s="1">
        <v>1159</v>
      </c>
      <c r="G642" t="s">
        <v>14</v>
      </c>
      <c r="H642" s="1">
        <v>47</v>
      </c>
      <c r="I642" s="40">
        <v>1150</v>
      </c>
      <c r="J642" t="s">
        <v>15</v>
      </c>
      <c r="K642" s="41">
        <v>14491.66</v>
      </c>
    </row>
    <row r="643" spans="1:11" x14ac:dyDescent="0.2">
      <c r="A643" s="43">
        <v>46143</v>
      </c>
      <c r="B643" t="s">
        <v>125</v>
      </c>
      <c r="C643" s="1">
        <v>38001027003</v>
      </c>
      <c r="D643" t="s">
        <v>186</v>
      </c>
      <c r="E643" s="39" t="s">
        <v>361</v>
      </c>
      <c r="F643" s="1">
        <v>1159</v>
      </c>
      <c r="G643" t="s">
        <v>14</v>
      </c>
      <c r="H643" s="1">
        <v>47</v>
      </c>
      <c r="I643" s="40">
        <v>1150</v>
      </c>
      <c r="J643" t="s">
        <v>15</v>
      </c>
      <c r="K643" s="41">
        <v>-14491.66</v>
      </c>
    </row>
    <row r="644" spans="1:11" x14ac:dyDescent="0.2">
      <c r="A644" s="43">
        <v>46143</v>
      </c>
      <c r="B644" t="s">
        <v>125</v>
      </c>
      <c r="C644" s="1">
        <v>38001027004</v>
      </c>
      <c r="D644" t="s">
        <v>193</v>
      </c>
      <c r="E644" s="39" t="s">
        <v>362</v>
      </c>
      <c r="F644" s="1">
        <v>1159</v>
      </c>
      <c r="G644" t="s">
        <v>14</v>
      </c>
      <c r="H644" s="1">
        <v>47</v>
      </c>
      <c r="I644" s="40">
        <v>1150</v>
      </c>
      <c r="J644" t="s">
        <v>15</v>
      </c>
      <c r="K644" s="41">
        <v>317.45999999999998</v>
      </c>
    </row>
    <row r="645" spans="1:11" x14ac:dyDescent="0.2">
      <c r="A645" s="43">
        <v>46143</v>
      </c>
      <c r="B645" t="s">
        <v>41</v>
      </c>
      <c r="C645" s="1">
        <v>38001019002</v>
      </c>
      <c r="D645" t="s">
        <v>138</v>
      </c>
      <c r="E645" s="39" t="s">
        <v>368</v>
      </c>
      <c r="F645" s="1">
        <v>1159</v>
      </c>
      <c r="G645" t="s">
        <v>14</v>
      </c>
      <c r="H645" s="1">
        <v>47</v>
      </c>
      <c r="I645" s="40">
        <v>1159</v>
      </c>
      <c r="J645" t="s">
        <v>14</v>
      </c>
      <c r="K645" s="41">
        <v>19119.830000000002</v>
      </c>
    </row>
    <row r="646" spans="1:11" x14ac:dyDescent="0.2">
      <c r="A646" s="43">
        <v>46143</v>
      </c>
      <c r="B646" t="s">
        <v>125</v>
      </c>
      <c r="C646" s="1">
        <v>38001027003</v>
      </c>
      <c r="D646" t="s">
        <v>186</v>
      </c>
      <c r="E646" s="39" t="s">
        <v>361</v>
      </c>
      <c r="F646" s="1">
        <v>1159</v>
      </c>
      <c r="G646" t="s">
        <v>14</v>
      </c>
      <c r="H646" s="1">
        <v>47</v>
      </c>
      <c r="I646" s="40">
        <v>1159</v>
      </c>
      <c r="J646" t="s">
        <v>14</v>
      </c>
      <c r="K646" s="41">
        <v>3923.2</v>
      </c>
    </row>
    <row r="647" spans="1:11" x14ac:dyDescent="0.2">
      <c r="A647" s="43">
        <v>46143</v>
      </c>
      <c r="B647" t="s">
        <v>125</v>
      </c>
      <c r="C647" s="1">
        <v>38001027003</v>
      </c>
      <c r="D647" t="s">
        <v>186</v>
      </c>
      <c r="E647" s="39" t="s">
        <v>361</v>
      </c>
      <c r="F647" s="1">
        <v>1159</v>
      </c>
      <c r="G647" t="s">
        <v>14</v>
      </c>
      <c r="H647" s="1">
        <v>47</v>
      </c>
      <c r="I647" s="40">
        <v>1159</v>
      </c>
      <c r="J647" t="s">
        <v>14</v>
      </c>
      <c r="K647" s="41">
        <v>-3923.2</v>
      </c>
    </row>
    <row r="648" spans="1:11" x14ac:dyDescent="0.2">
      <c r="A648" s="43">
        <v>46143</v>
      </c>
      <c r="B648" t="s">
        <v>125</v>
      </c>
      <c r="C648" s="1">
        <v>38001027004</v>
      </c>
      <c r="D648" t="s">
        <v>193</v>
      </c>
      <c r="E648" s="39" t="s">
        <v>362</v>
      </c>
      <c r="F648" s="1">
        <v>1159</v>
      </c>
      <c r="G648" t="s">
        <v>14</v>
      </c>
      <c r="H648" s="1">
        <v>47</v>
      </c>
      <c r="I648" s="40">
        <v>1159</v>
      </c>
      <c r="J648" t="s">
        <v>14</v>
      </c>
      <c r="K648" s="41">
        <v>86.58</v>
      </c>
    </row>
    <row r="649" spans="1:11" x14ac:dyDescent="0.2">
      <c r="A649" s="43">
        <v>46143</v>
      </c>
      <c r="B649" t="s">
        <v>125</v>
      </c>
      <c r="C649" s="1">
        <v>38001027003</v>
      </c>
      <c r="D649" t="s">
        <v>186</v>
      </c>
      <c r="E649" s="39" t="s">
        <v>361</v>
      </c>
      <c r="F649" s="1">
        <v>1159</v>
      </c>
      <c r="G649" t="s">
        <v>14</v>
      </c>
      <c r="H649" s="1">
        <v>47</v>
      </c>
      <c r="I649" s="40">
        <v>1160</v>
      </c>
      <c r="J649" t="s">
        <v>13</v>
      </c>
      <c r="K649" s="41">
        <v>5896.44</v>
      </c>
    </row>
    <row r="650" spans="1:11" x14ac:dyDescent="0.2">
      <c r="A650" s="43">
        <v>46143</v>
      </c>
      <c r="B650" t="s">
        <v>125</v>
      </c>
      <c r="C650" s="1">
        <v>38001027003</v>
      </c>
      <c r="D650" t="s">
        <v>186</v>
      </c>
      <c r="E650" s="39" t="s">
        <v>361</v>
      </c>
      <c r="F650" s="1">
        <v>1159</v>
      </c>
      <c r="G650" t="s">
        <v>14</v>
      </c>
      <c r="H650" s="1">
        <v>47</v>
      </c>
      <c r="I650" s="40">
        <v>1160</v>
      </c>
      <c r="J650" t="s">
        <v>13</v>
      </c>
      <c r="K650" s="41">
        <v>-5896.44</v>
      </c>
    </row>
    <row r="651" spans="1:11" x14ac:dyDescent="0.2">
      <c r="A651" s="43">
        <v>46143</v>
      </c>
      <c r="B651" t="s">
        <v>125</v>
      </c>
      <c r="C651" s="1">
        <v>38001027004</v>
      </c>
      <c r="D651" t="s">
        <v>193</v>
      </c>
      <c r="E651" s="39" t="s">
        <v>362</v>
      </c>
      <c r="F651" s="1">
        <v>1159</v>
      </c>
      <c r="G651" t="s">
        <v>14</v>
      </c>
      <c r="H651" s="1">
        <v>47</v>
      </c>
      <c r="I651" s="40">
        <v>1160</v>
      </c>
      <c r="J651" t="s">
        <v>13</v>
      </c>
      <c r="K651" s="41">
        <v>404.04</v>
      </c>
    </row>
    <row r="652" spans="1:11" x14ac:dyDescent="0.2">
      <c r="A652" s="43">
        <v>46143</v>
      </c>
      <c r="B652" t="s">
        <v>125</v>
      </c>
      <c r="C652" s="1">
        <v>38001027007</v>
      </c>
      <c r="D652" t="s">
        <v>126</v>
      </c>
      <c r="E652" s="39" t="s">
        <v>369</v>
      </c>
      <c r="F652" s="1">
        <v>1159</v>
      </c>
      <c r="G652" t="s">
        <v>14</v>
      </c>
      <c r="H652" s="1">
        <v>47</v>
      </c>
      <c r="I652" s="40">
        <v>1150</v>
      </c>
      <c r="J652" t="s">
        <v>15</v>
      </c>
      <c r="K652" s="41">
        <v>178.32</v>
      </c>
    </row>
    <row r="653" spans="1:11" x14ac:dyDescent="0.2">
      <c r="A653" s="43">
        <v>46143</v>
      </c>
      <c r="B653" t="s">
        <v>57</v>
      </c>
      <c r="C653" s="1">
        <v>38001018001</v>
      </c>
      <c r="D653" t="s">
        <v>60</v>
      </c>
      <c r="E653" s="39" t="s">
        <v>370</v>
      </c>
      <c r="F653" s="1">
        <v>1159</v>
      </c>
      <c r="G653" t="s">
        <v>14</v>
      </c>
      <c r="H653" s="1">
        <v>47</v>
      </c>
      <c r="I653" s="40">
        <v>1159</v>
      </c>
      <c r="J653" t="s">
        <v>14</v>
      </c>
      <c r="K653" s="41">
        <v>2429.8200000000002</v>
      </c>
    </row>
    <row r="654" spans="1:11" x14ac:dyDescent="0.2">
      <c r="A654" s="43">
        <v>46143</v>
      </c>
      <c r="B654" t="s">
        <v>46</v>
      </c>
      <c r="C654" s="1">
        <v>38001002004</v>
      </c>
      <c r="D654" t="s">
        <v>45</v>
      </c>
      <c r="E654" s="39" t="s">
        <v>371</v>
      </c>
      <c r="F654" s="1">
        <v>1159</v>
      </c>
      <c r="G654" t="s">
        <v>14</v>
      </c>
      <c r="H654" s="1">
        <v>47</v>
      </c>
      <c r="I654" s="40">
        <v>1160</v>
      </c>
      <c r="J654" t="s">
        <v>13</v>
      </c>
      <c r="K654" s="41">
        <v>97.5</v>
      </c>
    </row>
    <row r="655" spans="1:11" x14ac:dyDescent="0.2">
      <c r="A655" s="43">
        <v>46143</v>
      </c>
      <c r="B655" t="s">
        <v>125</v>
      </c>
      <c r="C655" s="1">
        <v>38001027007</v>
      </c>
      <c r="D655" t="s">
        <v>126</v>
      </c>
      <c r="E655" s="39" t="s">
        <v>372</v>
      </c>
      <c r="F655" s="1">
        <v>1159</v>
      </c>
      <c r="G655" t="s">
        <v>14</v>
      </c>
      <c r="H655" s="1">
        <v>47</v>
      </c>
      <c r="I655" s="40">
        <v>1150</v>
      </c>
      <c r="J655" t="s">
        <v>15</v>
      </c>
      <c r="K655" s="41">
        <v>814.96</v>
      </c>
    </row>
    <row r="656" spans="1:11" x14ac:dyDescent="0.2">
      <c r="A656" s="43">
        <v>46143</v>
      </c>
      <c r="B656" t="s">
        <v>41</v>
      </c>
      <c r="C656" s="1">
        <v>38001019002</v>
      </c>
      <c r="D656" t="s">
        <v>138</v>
      </c>
      <c r="E656" s="39" t="s">
        <v>373</v>
      </c>
      <c r="F656" s="1">
        <v>1159</v>
      </c>
      <c r="G656" t="s">
        <v>14</v>
      </c>
      <c r="H656" s="1">
        <v>47</v>
      </c>
      <c r="I656" s="40">
        <v>1159</v>
      </c>
      <c r="J656" t="s">
        <v>14</v>
      </c>
      <c r="K656" s="41">
        <v>434.41</v>
      </c>
    </row>
    <row r="657" spans="1:11" x14ac:dyDescent="0.2">
      <c r="A657" s="43">
        <v>46143</v>
      </c>
      <c r="B657" t="s">
        <v>46</v>
      </c>
      <c r="C657" s="1">
        <v>38001002001</v>
      </c>
      <c r="D657" t="s">
        <v>48</v>
      </c>
      <c r="E657" s="39" t="s">
        <v>374</v>
      </c>
      <c r="F657" s="1">
        <v>1159</v>
      </c>
      <c r="G657" t="s">
        <v>14</v>
      </c>
      <c r="H657" s="1">
        <v>47</v>
      </c>
      <c r="I657" s="40">
        <v>1160</v>
      </c>
      <c r="J657" t="s">
        <v>13</v>
      </c>
      <c r="K657" s="41">
        <v>137.80000000000001</v>
      </c>
    </row>
    <row r="658" spans="1:11" x14ac:dyDescent="0.2">
      <c r="A658" s="43">
        <v>46143</v>
      </c>
      <c r="B658" t="s">
        <v>35</v>
      </c>
      <c r="C658" s="1">
        <v>38001013002</v>
      </c>
      <c r="D658" t="s">
        <v>34</v>
      </c>
      <c r="E658" s="39" t="s">
        <v>375</v>
      </c>
      <c r="F658" s="1">
        <v>1159</v>
      </c>
      <c r="G658" t="s">
        <v>14</v>
      </c>
      <c r="H658" s="1">
        <v>47</v>
      </c>
      <c r="I658" s="40">
        <v>1150</v>
      </c>
      <c r="J658" t="s">
        <v>15</v>
      </c>
      <c r="K658" s="41">
        <v>22676.14</v>
      </c>
    </row>
    <row r="659" spans="1:11" x14ac:dyDescent="0.2">
      <c r="A659" s="43">
        <v>46143</v>
      </c>
      <c r="B659" t="s">
        <v>125</v>
      </c>
      <c r="C659" s="1">
        <v>38001027003</v>
      </c>
      <c r="D659" t="s">
        <v>186</v>
      </c>
      <c r="E659" s="39" t="s">
        <v>363</v>
      </c>
      <c r="F659" s="1">
        <v>1159</v>
      </c>
      <c r="G659" t="s">
        <v>14</v>
      </c>
      <c r="H659" s="1">
        <v>47</v>
      </c>
      <c r="I659" s="40">
        <v>1150</v>
      </c>
      <c r="J659" t="s">
        <v>15</v>
      </c>
      <c r="K659" s="41">
        <v>14491.66</v>
      </c>
    </row>
    <row r="660" spans="1:11" x14ac:dyDescent="0.2">
      <c r="A660" s="43">
        <v>46143</v>
      </c>
      <c r="B660" t="s">
        <v>125</v>
      </c>
      <c r="C660" s="1">
        <v>38001027003</v>
      </c>
      <c r="D660" t="s">
        <v>186</v>
      </c>
      <c r="E660" s="39" t="s">
        <v>363</v>
      </c>
      <c r="F660" s="1">
        <v>1159</v>
      </c>
      <c r="G660" t="s">
        <v>14</v>
      </c>
      <c r="H660" s="1">
        <v>47</v>
      </c>
      <c r="I660" s="40">
        <v>1159</v>
      </c>
      <c r="J660" t="s">
        <v>14</v>
      </c>
      <c r="K660" s="41">
        <v>3923.2</v>
      </c>
    </row>
    <row r="661" spans="1:11" x14ac:dyDescent="0.2">
      <c r="A661" s="43">
        <v>46143</v>
      </c>
      <c r="B661" t="s">
        <v>125</v>
      </c>
      <c r="C661" s="1">
        <v>38001027003</v>
      </c>
      <c r="D661" t="s">
        <v>186</v>
      </c>
      <c r="E661" s="39" t="s">
        <v>363</v>
      </c>
      <c r="F661" s="1">
        <v>1159</v>
      </c>
      <c r="G661" t="s">
        <v>14</v>
      </c>
      <c r="H661" s="1">
        <v>47</v>
      </c>
      <c r="I661" s="40">
        <v>1160</v>
      </c>
      <c r="J661" t="s">
        <v>13</v>
      </c>
      <c r="K661" s="41">
        <v>5896.44</v>
      </c>
    </row>
    <row r="662" spans="1:11" x14ac:dyDescent="0.2">
      <c r="A662" s="43">
        <v>46143</v>
      </c>
      <c r="B662" t="s">
        <v>125</v>
      </c>
      <c r="C662" s="1">
        <v>38001027008</v>
      </c>
      <c r="D662" t="s">
        <v>12</v>
      </c>
      <c r="E662" s="39" t="s">
        <v>377</v>
      </c>
      <c r="F662" s="1">
        <v>1159</v>
      </c>
      <c r="G662" t="s">
        <v>14</v>
      </c>
      <c r="H662" s="1">
        <v>47</v>
      </c>
      <c r="I662" s="40">
        <v>1150</v>
      </c>
      <c r="J662" t="s">
        <v>15</v>
      </c>
      <c r="K662" s="41">
        <v>7560</v>
      </c>
    </row>
    <row r="663" spans="1:11" x14ac:dyDescent="0.2">
      <c r="A663" s="43">
        <v>46143</v>
      </c>
      <c r="B663" t="s">
        <v>125</v>
      </c>
      <c r="C663" s="1">
        <v>38001027008</v>
      </c>
      <c r="D663" t="s">
        <v>12</v>
      </c>
      <c r="E663" s="39" t="s">
        <v>377</v>
      </c>
      <c r="F663" s="1">
        <v>1159</v>
      </c>
      <c r="G663" t="s">
        <v>14</v>
      </c>
      <c r="H663" s="1">
        <v>47</v>
      </c>
      <c r="I663" s="40">
        <v>1159</v>
      </c>
      <c r="J663" t="s">
        <v>14</v>
      </c>
      <c r="K663" s="41">
        <v>1970</v>
      </c>
    </row>
    <row r="664" spans="1:11" x14ac:dyDescent="0.2">
      <c r="A664" s="43">
        <v>46143</v>
      </c>
      <c r="B664" t="s">
        <v>125</v>
      </c>
      <c r="C664" s="1">
        <v>38001027008</v>
      </c>
      <c r="D664" t="s">
        <v>12</v>
      </c>
      <c r="E664" s="39" t="s">
        <v>377</v>
      </c>
      <c r="F664" s="1">
        <v>1159</v>
      </c>
      <c r="G664" t="s">
        <v>14</v>
      </c>
      <c r="H664" s="1">
        <v>47</v>
      </c>
      <c r="I664" s="40">
        <v>1160</v>
      </c>
      <c r="J664" t="s">
        <v>13</v>
      </c>
      <c r="K664" s="41">
        <v>5610</v>
      </c>
    </row>
    <row r="665" spans="1:11" x14ac:dyDescent="0.2">
      <c r="A665" s="43">
        <v>46143</v>
      </c>
      <c r="B665" t="s">
        <v>38</v>
      </c>
      <c r="C665" s="1">
        <v>38001023002</v>
      </c>
      <c r="D665" t="s">
        <v>37</v>
      </c>
      <c r="E665" s="39" t="s">
        <v>376</v>
      </c>
      <c r="F665" s="1">
        <v>1159</v>
      </c>
      <c r="G665" t="s">
        <v>14</v>
      </c>
      <c r="H665" s="1">
        <v>47</v>
      </c>
      <c r="I665" s="40">
        <v>1150</v>
      </c>
      <c r="J665" t="s">
        <v>15</v>
      </c>
      <c r="K665" s="41">
        <v>1421.97</v>
      </c>
    </row>
    <row r="666" spans="1:11" x14ac:dyDescent="0.2">
      <c r="A666" s="43">
        <v>46143</v>
      </c>
      <c r="B666" t="s">
        <v>38</v>
      </c>
      <c r="C666" s="1">
        <v>38001023002</v>
      </c>
      <c r="D666" t="s">
        <v>37</v>
      </c>
      <c r="E666" s="39" t="s">
        <v>376</v>
      </c>
      <c r="F666" s="1">
        <v>1159</v>
      </c>
      <c r="G666" t="s">
        <v>14</v>
      </c>
      <c r="H666" s="1">
        <v>47</v>
      </c>
      <c r="I666" s="40">
        <v>1159</v>
      </c>
      <c r="J666" t="s">
        <v>14</v>
      </c>
      <c r="K666" s="41">
        <v>1339.25</v>
      </c>
    </row>
    <row r="667" spans="1:11" x14ac:dyDescent="0.2">
      <c r="A667" s="43">
        <v>46143</v>
      </c>
      <c r="B667" t="s">
        <v>38</v>
      </c>
      <c r="C667" s="1">
        <v>38001023002</v>
      </c>
      <c r="D667" t="s">
        <v>37</v>
      </c>
      <c r="E667" s="39" t="s">
        <v>376</v>
      </c>
      <c r="F667" s="1">
        <v>1159</v>
      </c>
      <c r="G667" t="s">
        <v>14</v>
      </c>
      <c r="H667" s="1">
        <v>47</v>
      </c>
      <c r="I667" s="40">
        <v>1160</v>
      </c>
      <c r="J667" t="s">
        <v>13</v>
      </c>
      <c r="K667" s="41">
        <v>1248.05</v>
      </c>
    </row>
    <row r="668" spans="1:11" x14ac:dyDescent="0.2">
      <c r="A668" s="43">
        <v>46143</v>
      </c>
      <c r="B668" t="s">
        <v>57</v>
      </c>
      <c r="C668" s="1">
        <v>38001018002</v>
      </c>
      <c r="D668" t="s">
        <v>59</v>
      </c>
      <c r="E668" s="39" t="s">
        <v>334</v>
      </c>
      <c r="F668" s="1">
        <v>1159</v>
      </c>
      <c r="G668" t="s">
        <v>14</v>
      </c>
      <c r="H668" s="1">
        <v>47</v>
      </c>
      <c r="I668" s="40">
        <v>1159</v>
      </c>
      <c r="J668" t="s">
        <v>14</v>
      </c>
      <c r="K668" s="41">
        <v>3297.32</v>
      </c>
    </row>
    <row r="669" spans="1:11" x14ac:dyDescent="0.2">
      <c r="A669" s="43">
        <v>46143</v>
      </c>
      <c r="B669" t="s">
        <v>57</v>
      </c>
      <c r="C669" s="1">
        <v>38001018006</v>
      </c>
      <c r="D669" t="s">
        <v>333</v>
      </c>
      <c r="E669" s="39" t="s">
        <v>334</v>
      </c>
      <c r="F669" s="1">
        <v>1159</v>
      </c>
      <c r="G669" t="s">
        <v>14</v>
      </c>
      <c r="H669" s="1">
        <v>47</v>
      </c>
      <c r="I669" s="40">
        <v>1159</v>
      </c>
      <c r="J669" t="s">
        <v>14</v>
      </c>
      <c r="K669" s="41">
        <v>-3297.32</v>
      </c>
    </row>
    <row r="670" spans="1:11" x14ac:dyDescent="0.2">
      <c r="A670" s="43">
        <v>46143</v>
      </c>
      <c r="B670" t="s">
        <v>107</v>
      </c>
      <c r="C670" s="1">
        <v>38001025002</v>
      </c>
      <c r="D670" t="s">
        <v>115</v>
      </c>
      <c r="E670" s="39" t="s">
        <v>350</v>
      </c>
      <c r="F670" s="1">
        <v>1159</v>
      </c>
      <c r="G670" t="s">
        <v>14</v>
      </c>
      <c r="H670" s="1">
        <v>47</v>
      </c>
      <c r="I670" s="40">
        <v>1150</v>
      </c>
      <c r="J670" t="s">
        <v>15</v>
      </c>
      <c r="K670" s="41">
        <v>-5521.88</v>
      </c>
    </row>
    <row r="671" spans="1:11" x14ac:dyDescent="0.2">
      <c r="A671" s="43">
        <v>46143</v>
      </c>
      <c r="B671" t="s">
        <v>107</v>
      </c>
      <c r="C671" s="1">
        <v>38001025002</v>
      </c>
      <c r="D671" t="s">
        <v>115</v>
      </c>
      <c r="E671" s="39" t="s">
        <v>350</v>
      </c>
      <c r="F671" s="1">
        <v>1159</v>
      </c>
      <c r="G671" t="s">
        <v>14</v>
      </c>
      <c r="H671" s="1">
        <v>47</v>
      </c>
      <c r="I671" s="40">
        <v>1159</v>
      </c>
      <c r="J671" t="s">
        <v>14</v>
      </c>
      <c r="K671" s="41">
        <v>-5877.3</v>
      </c>
    </row>
    <row r="672" spans="1:11" x14ac:dyDescent="0.2">
      <c r="A672" s="43">
        <v>46143</v>
      </c>
      <c r="B672" t="s">
        <v>107</v>
      </c>
      <c r="C672" s="1">
        <v>38001025002</v>
      </c>
      <c r="D672" t="s">
        <v>115</v>
      </c>
      <c r="E672" s="39" t="s">
        <v>350</v>
      </c>
      <c r="F672" s="1">
        <v>1159</v>
      </c>
      <c r="G672" t="s">
        <v>14</v>
      </c>
      <c r="H672" s="1">
        <v>47</v>
      </c>
      <c r="I672" s="40">
        <v>1160</v>
      </c>
      <c r="J672" t="s">
        <v>13</v>
      </c>
      <c r="K672" s="41">
        <v>-5477.07</v>
      </c>
    </row>
    <row r="673" spans="1:11" x14ac:dyDescent="0.2">
      <c r="A673" s="43">
        <v>46143</v>
      </c>
      <c r="B673" t="s">
        <v>107</v>
      </c>
      <c r="C673" s="1">
        <v>38001025002</v>
      </c>
      <c r="D673" t="s">
        <v>115</v>
      </c>
      <c r="E673" s="39" t="s">
        <v>350</v>
      </c>
      <c r="F673" s="1">
        <v>1159</v>
      </c>
      <c r="G673" t="s">
        <v>14</v>
      </c>
      <c r="H673" s="1">
        <v>47</v>
      </c>
      <c r="I673" s="40">
        <v>1150</v>
      </c>
      <c r="J673" t="s">
        <v>15</v>
      </c>
      <c r="K673" s="41">
        <v>1026.45</v>
      </c>
    </row>
    <row r="674" spans="1:11" x14ac:dyDescent="0.2">
      <c r="A674" s="43">
        <v>46143</v>
      </c>
      <c r="B674" t="s">
        <v>107</v>
      </c>
      <c r="C674" s="1">
        <v>38001025002</v>
      </c>
      <c r="D674" t="s">
        <v>115</v>
      </c>
      <c r="E674" s="39" t="s">
        <v>350</v>
      </c>
      <c r="F674" s="1">
        <v>1159</v>
      </c>
      <c r="G674" t="s">
        <v>14</v>
      </c>
      <c r="H674" s="1">
        <v>47</v>
      </c>
      <c r="I674" s="40">
        <v>1159</v>
      </c>
      <c r="J674" t="s">
        <v>14</v>
      </c>
      <c r="K674" s="41">
        <v>1004.44</v>
      </c>
    </row>
    <row r="675" spans="1:11" x14ac:dyDescent="0.2">
      <c r="A675" s="43">
        <v>46143</v>
      </c>
      <c r="B675" t="s">
        <v>107</v>
      </c>
      <c r="C675" s="1">
        <v>38001025002</v>
      </c>
      <c r="D675" t="s">
        <v>115</v>
      </c>
      <c r="E675" s="39" t="s">
        <v>350</v>
      </c>
      <c r="F675" s="1">
        <v>1159</v>
      </c>
      <c r="G675" t="s">
        <v>14</v>
      </c>
      <c r="H675" s="1">
        <v>47</v>
      </c>
      <c r="I675" s="40">
        <v>1160</v>
      </c>
      <c r="J675" t="s">
        <v>13</v>
      </c>
      <c r="K675" s="41">
        <v>936.03</v>
      </c>
    </row>
    <row r="676" spans="1:11" x14ac:dyDescent="0.2">
      <c r="A676" s="43">
        <v>46143</v>
      </c>
      <c r="B676" t="s">
        <v>66</v>
      </c>
      <c r="C676" s="1">
        <v>38001011004</v>
      </c>
      <c r="D676" t="s">
        <v>65</v>
      </c>
      <c r="E676" s="39" t="s">
        <v>378</v>
      </c>
      <c r="F676" s="1">
        <v>1159</v>
      </c>
      <c r="G676" t="s">
        <v>14</v>
      </c>
      <c r="H676" s="1">
        <v>47</v>
      </c>
      <c r="I676" s="40">
        <v>1150</v>
      </c>
      <c r="J676" t="s">
        <v>15</v>
      </c>
      <c r="K676" s="41">
        <v>19.27</v>
      </c>
    </row>
    <row r="677" spans="1:11" x14ac:dyDescent="0.2">
      <c r="A677" s="43">
        <v>46143</v>
      </c>
      <c r="B677" t="s">
        <v>35</v>
      </c>
      <c r="C677" s="1">
        <v>38001013001</v>
      </c>
      <c r="D677" t="s">
        <v>35</v>
      </c>
      <c r="E677" s="39" t="s">
        <v>379</v>
      </c>
      <c r="F677" s="1">
        <v>1159</v>
      </c>
      <c r="G677" t="s">
        <v>14</v>
      </c>
      <c r="H677" s="1">
        <v>47</v>
      </c>
      <c r="I677" s="40">
        <v>1150</v>
      </c>
      <c r="J677" t="s">
        <v>15</v>
      </c>
      <c r="K677" s="41">
        <v>-425.1</v>
      </c>
    </row>
    <row r="678" spans="1:11" x14ac:dyDescent="0.2">
      <c r="A678" s="43">
        <v>46143</v>
      </c>
      <c r="B678" t="s">
        <v>35</v>
      </c>
      <c r="C678" s="1">
        <v>38001013002</v>
      </c>
      <c r="D678" t="s">
        <v>34</v>
      </c>
      <c r="E678" s="39" t="s">
        <v>379</v>
      </c>
      <c r="F678" s="1">
        <v>1159</v>
      </c>
      <c r="G678" t="s">
        <v>14</v>
      </c>
      <c r="H678" s="1">
        <v>47</v>
      </c>
      <c r="I678" s="40">
        <v>1150</v>
      </c>
      <c r="J678" t="s">
        <v>15</v>
      </c>
      <c r="K678" s="41">
        <v>425.1</v>
      </c>
    </row>
    <row r="679" spans="1:11" x14ac:dyDescent="0.2">
      <c r="A679" s="43">
        <v>46143</v>
      </c>
      <c r="B679" t="s">
        <v>35</v>
      </c>
      <c r="C679" s="1">
        <v>38001013001</v>
      </c>
      <c r="D679" t="s">
        <v>35</v>
      </c>
      <c r="E679" s="39" t="s">
        <v>380</v>
      </c>
      <c r="F679" s="1">
        <v>1159</v>
      </c>
      <c r="G679" t="s">
        <v>14</v>
      </c>
      <c r="H679" s="1">
        <v>47</v>
      </c>
      <c r="I679" s="40">
        <v>1150</v>
      </c>
      <c r="J679" t="s">
        <v>15</v>
      </c>
      <c r="K679" s="41">
        <v>-194.72</v>
      </c>
    </row>
    <row r="680" spans="1:11" x14ac:dyDescent="0.2">
      <c r="A680" s="43">
        <v>46143</v>
      </c>
      <c r="B680" t="s">
        <v>35</v>
      </c>
      <c r="C680" s="1">
        <v>38001013002</v>
      </c>
      <c r="D680" t="s">
        <v>34</v>
      </c>
      <c r="E680" s="39" t="s">
        <v>380</v>
      </c>
      <c r="F680" s="1">
        <v>1159</v>
      </c>
      <c r="G680" t="s">
        <v>14</v>
      </c>
      <c r="H680" s="1">
        <v>47</v>
      </c>
      <c r="I680" s="40">
        <v>1150</v>
      </c>
      <c r="J680" t="s">
        <v>15</v>
      </c>
      <c r="K680" s="41">
        <v>194.72</v>
      </c>
    </row>
    <row r="681" spans="1:11" x14ac:dyDescent="0.2">
      <c r="A681" s="43">
        <v>46143</v>
      </c>
      <c r="B681" t="s">
        <v>35</v>
      </c>
      <c r="C681" s="1">
        <v>38001013001</v>
      </c>
      <c r="D681" t="s">
        <v>35</v>
      </c>
      <c r="E681" s="39" t="s">
        <v>381</v>
      </c>
      <c r="F681" s="1">
        <v>1159</v>
      </c>
      <c r="G681" t="s">
        <v>14</v>
      </c>
      <c r="H681" s="1">
        <v>47</v>
      </c>
      <c r="I681" s="40">
        <v>1159</v>
      </c>
      <c r="J681" t="s">
        <v>14</v>
      </c>
      <c r="K681" s="41">
        <v>-48.68</v>
      </c>
    </row>
    <row r="682" spans="1:11" x14ac:dyDescent="0.2">
      <c r="A682" s="43">
        <v>46143</v>
      </c>
      <c r="B682" t="s">
        <v>35</v>
      </c>
      <c r="C682" s="1">
        <v>38001013002</v>
      </c>
      <c r="D682" t="s">
        <v>34</v>
      </c>
      <c r="E682" s="39" t="s">
        <v>381</v>
      </c>
      <c r="F682" s="1">
        <v>1159</v>
      </c>
      <c r="G682" t="s">
        <v>14</v>
      </c>
      <c r="H682" s="1">
        <v>47</v>
      </c>
      <c r="I682" s="40">
        <v>1159</v>
      </c>
      <c r="J682" t="s">
        <v>14</v>
      </c>
      <c r="K682" s="41">
        <v>48.68</v>
      </c>
    </row>
    <row r="683" spans="1:11" x14ac:dyDescent="0.2">
      <c r="A683" s="43">
        <v>46143</v>
      </c>
      <c r="B683" t="s">
        <v>35</v>
      </c>
      <c r="C683" s="1">
        <v>38001013001</v>
      </c>
      <c r="D683" t="s">
        <v>35</v>
      </c>
      <c r="E683" s="39" t="s">
        <v>382</v>
      </c>
      <c r="F683" s="1">
        <v>1159</v>
      </c>
      <c r="G683" t="s">
        <v>14</v>
      </c>
      <c r="H683" s="1">
        <v>47</v>
      </c>
      <c r="I683" s="40">
        <v>1160</v>
      </c>
      <c r="J683" t="s">
        <v>13</v>
      </c>
      <c r="K683" s="41">
        <v>-48.68</v>
      </c>
    </row>
    <row r="684" spans="1:11" x14ac:dyDescent="0.2">
      <c r="A684" s="43">
        <v>46143</v>
      </c>
      <c r="B684" t="s">
        <v>35</v>
      </c>
      <c r="C684" s="1">
        <v>38001013002</v>
      </c>
      <c r="D684" t="s">
        <v>34</v>
      </c>
      <c r="E684" s="39" t="s">
        <v>382</v>
      </c>
      <c r="F684" s="1">
        <v>1159</v>
      </c>
      <c r="G684" t="s">
        <v>14</v>
      </c>
      <c r="H684" s="1">
        <v>47</v>
      </c>
      <c r="I684" s="40">
        <v>1160</v>
      </c>
      <c r="J684" t="s">
        <v>13</v>
      </c>
      <c r="K684" s="41">
        <v>48.68</v>
      </c>
    </row>
    <row r="685" spans="1:11" x14ac:dyDescent="0.2">
      <c r="A685" s="43">
        <v>46143</v>
      </c>
      <c r="B685" t="s">
        <v>35</v>
      </c>
      <c r="C685" s="1">
        <v>38001013001</v>
      </c>
      <c r="D685" t="s">
        <v>35</v>
      </c>
      <c r="E685" s="39" t="s">
        <v>383</v>
      </c>
      <c r="F685" s="1">
        <v>1159</v>
      </c>
      <c r="G685" t="s">
        <v>14</v>
      </c>
      <c r="H685" s="1">
        <v>47</v>
      </c>
      <c r="I685" s="40">
        <v>1150</v>
      </c>
      <c r="J685" t="s">
        <v>15</v>
      </c>
      <c r="K685" s="41">
        <v>-647.4</v>
      </c>
    </row>
    <row r="686" spans="1:11" x14ac:dyDescent="0.2">
      <c r="A686" s="43">
        <v>46143</v>
      </c>
      <c r="B686" t="s">
        <v>35</v>
      </c>
      <c r="C686" s="1">
        <v>38001013002</v>
      </c>
      <c r="D686" t="s">
        <v>34</v>
      </c>
      <c r="E686" s="39" t="s">
        <v>383</v>
      </c>
      <c r="F686" s="1">
        <v>1159</v>
      </c>
      <c r="G686" t="s">
        <v>14</v>
      </c>
      <c r="H686" s="1">
        <v>47</v>
      </c>
      <c r="I686" s="40">
        <v>1150</v>
      </c>
      <c r="J686" t="s">
        <v>15</v>
      </c>
      <c r="K686" s="41">
        <v>647.4</v>
      </c>
    </row>
    <row r="687" spans="1:11" x14ac:dyDescent="0.2">
      <c r="A687" s="43">
        <v>46143</v>
      </c>
      <c r="B687" t="s">
        <v>35</v>
      </c>
      <c r="C687" s="1">
        <v>38001013001</v>
      </c>
      <c r="D687" t="s">
        <v>35</v>
      </c>
      <c r="E687" s="39" t="s">
        <v>384</v>
      </c>
      <c r="F687" s="1">
        <v>1159</v>
      </c>
      <c r="G687" t="s">
        <v>14</v>
      </c>
      <c r="H687" s="1">
        <v>47</v>
      </c>
      <c r="I687" s="40">
        <v>1159</v>
      </c>
      <c r="J687" t="s">
        <v>14</v>
      </c>
      <c r="K687" s="41">
        <v>-647.4</v>
      </c>
    </row>
    <row r="688" spans="1:11" x14ac:dyDescent="0.2">
      <c r="A688" s="43">
        <v>46143</v>
      </c>
      <c r="B688" t="s">
        <v>35</v>
      </c>
      <c r="C688" s="1">
        <v>38001013002</v>
      </c>
      <c r="D688" t="s">
        <v>34</v>
      </c>
      <c r="E688" s="39" t="s">
        <v>384</v>
      </c>
      <c r="F688" s="1">
        <v>1159</v>
      </c>
      <c r="G688" t="s">
        <v>14</v>
      </c>
      <c r="H688" s="1">
        <v>47</v>
      </c>
      <c r="I688" s="40">
        <v>1159</v>
      </c>
      <c r="J688" t="s">
        <v>14</v>
      </c>
      <c r="K688" s="41">
        <v>647.4</v>
      </c>
    </row>
    <row r="689" spans="1:11" x14ac:dyDescent="0.2">
      <c r="A689" s="43">
        <v>46143</v>
      </c>
      <c r="B689" t="s">
        <v>35</v>
      </c>
      <c r="C689" s="1">
        <v>38001013001</v>
      </c>
      <c r="D689" t="s">
        <v>35</v>
      </c>
      <c r="E689" s="39" t="s">
        <v>385</v>
      </c>
      <c r="F689" s="1">
        <v>1159</v>
      </c>
      <c r="G689" t="s">
        <v>14</v>
      </c>
      <c r="H689" s="1">
        <v>47</v>
      </c>
      <c r="I689" s="40">
        <v>1160</v>
      </c>
      <c r="J689" t="s">
        <v>13</v>
      </c>
      <c r="K689" s="41">
        <v>-431.6</v>
      </c>
    </row>
    <row r="690" spans="1:11" x14ac:dyDescent="0.2">
      <c r="A690" s="43">
        <v>46143</v>
      </c>
      <c r="B690" t="s">
        <v>35</v>
      </c>
      <c r="C690" s="1">
        <v>38001013001</v>
      </c>
      <c r="D690" t="s">
        <v>35</v>
      </c>
      <c r="E690" s="39" t="s">
        <v>386</v>
      </c>
      <c r="F690" s="1">
        <v>1159</v>
      </c>
      <c r="G690" t="s">
        <v>14</v>
      </c>
      <c r="H690" s="1">
        <v>47</v>
      </c>
      <c r="I690" s="40">
        <v>1160</v>
      </c>
      <c r="J690" t="s">
        <v>13</v>
      </c>
      <c r="K690" s="41">
        <v>-655.16</v>
      </c>
    </row>
    <row r="691" spans="1:11" x14ac:dyDescent="0.2">
      <c r="A691" s="43">
        <v>46143</v>
      </c>
      <c r="B691" t="s">
        <v>35</v>
      </c>
      <c r="C691" s="1">
        <v>38001013002</v>
      </c>
      <c r="D691" t="s">
        <v>34</v>
      </c>
      <c r="E691" s="39" t="s">
        <v>385</v>
      </c>
      <c r="F691" s="1">
        <v>1159</v>
      </c>
      <c r="G691" t="s">
        <v>14</v>
      </c>
      <c r="H691" s="1">
        <v>47</v>
      </c>
      <c r="I691" s="40">
        <v>1160</v>
      </c>
      <c r="J691" t="s">
        <v>13</v>
      </c>
      <c r="K691" s="41">
        <v>431.6</v>
      </c>
    </row>
    <row r="692" spans="1:11" x14ac:dyDescent="0.2">
      <c r="A692" s="43">
        <v>46143</v>
      </c>
      <c r="B692" t="s">
        <v>35</v>
      </c>
      <c r="C692" s="1">
        <v>38001013002</v>
      </c>
      <c r="D692" t="s">
        <v>34</v>
      </c>
      <c r="E692" s="39" t="s">
        <v>386</v>
      </c>
      <c r="F692" s="1">
        <v>1159</v>
      </c>
      <c r="G692" t="s">
        <v>14</v>
      </c>
      <c r="H692" s="1">
        <v>47</v>
      </c>
      <c r="I692" s="40">
        <v>1160</v>
      </c>
      <c r="J692" t="s">
        <v>13</v>
      </c>
      <c r="K692" s="41">
        <v>655.16</v>
      </c>
    </row>
    <row r="693" spans="1:11" x14ac:dyDescent="0.2">
      <c r="A693" s="43">
        <v>46143</v>
      </c>
      <c r="B693" t="s">
        <v>35</v>
      </c>
      <c r="C693" s="1">
        <v>38001013001</v>
      </c>
      <c r="D693" t="s">
        <v>35</v>
      </c>
      <c r="E693" s="39" t="s">
        <v>387</v>
      </c>
      <c r="F693" s="1">
        <v>1159</v>
      </c>
      <c r="G693" t="s">
        <v>14</v>
      </c>
      <c r="H693" s="1">
        <v>47</v>
      </c>
      <c r="I693" s="40">
        <v>1150</v>
      </c>
      <c r="J693" t="s">
        <v>15</v>
      </c>
      <c r="K693" s="41">
        <v>-400</v>
      </c>
    </row>
    <row r="694" spans="1:11" x14ac:dyDescent="0.2">
      <c r="A694" s="43">
        <v>46143</v>
      </c>
      <c r="B694" t="s">
        <v>35</v>
      </c>
      <c r="C694" s="1">
        <v>38001013002</v>
      </c>
      <c r="D694" t="s">
        <v>34</v>
      </c>
      <c r="E694" s="39" t="s">
        <v>387</v>
      </c>
      <c r="F694" s="1">
        <v>1159</v>
      </c>
      <c r="G694" t="s">
        <v>14</v>
      </c>
      <c r="H694" s="1">
        <v>47</v>
      </c>
      <c r="I694" s="40">
        <v>1150</v>
      </c>
      <c r="J694" t="s">
        <v>15</v>
      </c>
      <c r="K694" s="41">
        <v>400</v>
      </c>
    </row>
    <row r="695" spans="1:11" x14ac:dyDescent="0.2">
      <c r="A695" s="43">
        <v>46143</v>
      </c>
      <c r="B695" t="s">
        <v>35</v>
      </c>
      <c r="C695" s="1">
        <v>38001013002</v>
      </c>
      <c r="D695" t="s">
        <v>34</v>
      </c>
      <c r="E695" s="39" t="s">
        <v>388</v>
      </c>
      <c r="F695" s="1">
        <v>1159</v>
      </c>
      <c r="G695" t="s">
        <v>14</v>
      </c>
      <c r="H695" s="1">
        <v>47</v>
      </c>
      <c r="I695" s="40">
        <v>1150</v>
      </c>
      <c r="J695" t="s">
        <v>15</v>
      </c>
      <c r="K695" s="41">
        <v>5311.61</v>
      </c>
    </row>
    <row r="696" spans="1:11" x14ac:dyDescent="0.2">
      <c r="A696" s="43">
        <v>46143</v>
      </c>
      <c r="B696" t="s">
        <v>35</v>
      </c>
      <c r="C696" s="1">
        <v>38001013002</v>
      </c>
      <c r="D696" t="s">
        <v>34</v>
      </c>
      <c r="E696" s="39" t="s">
        <v>389</v>
      </c>
      <c r="F696" s="1">
        <v>1159</v>
      </c>
      <c r="G696" t="s">
        <v>14</v>
      </c>
      <c r="H696" s="1">
        <v>47</v>
      </c>
      <c r="I696" s="40">
        <v>1159</v>
      </c>
      <c r="J696" t="s">
        <v>14</v>
      </c>
      <c r="K696" s="41">
        <v>5605.95</v>
      </c>
    </row>
    <row r="697" spans="1:11" x14ac:dyDescent="0.2">
      <c r="A697" s="43">
        <v>46143</v>
      </c>
      <c r="B697" t="s">
        <v>35</v>
      </c>
      <c r="C697" s="1">
        <v>38001013002</v>
      </c>
      <c r="D697" t="s">
        <v>34</v>
      </c>
      <c r="E697" s="39" t="s">
        <v>390</v>
      </c>
      <c r="F697" s="1">
        <v>1159</v>
      </c>
      <c r="G697" t="s">
        <v>14</v>
      </c>
      <c r="H697" s="1">
        <v>47</v>
      </c>
      <c r="I697" s="40">
        <v>1160</v>
      </c>
      <c r="J697" t="s">
        <v>13</v>
      </c>
      <c r="K697" s="41">
        <v>5185.96</v>
      </c>
    </row>
    <row r="698" spans="1:11" x14ac:dyDescent="0.2">
      <c r="A698" s="43">
        <v>46143</v>
      </c>
      <c r="B698" t="s">
        <v>41</v>
      </c>
      <c r="C698" s="1">
        <v>38001019004</v>
      </c>
      <c r="D698" t="s">
        <v>40</v>
      </c>
      <c r="E698" s="39" t="s">
        <v>391</v>
      </c>
      <c r="F698" s="1">
        <v>1159</v>
      </c>
      <c r="G698" t="s">
        <v>14</v>
      </c>
      <c r="H698" s="1">
        <v>47</v>
      </c>
      <c r="I698" s="40">
        <v>1159</v>
      </c>
      <c r="J698" t="s">
        <v>14</v>
      </c>
      <c r="K698" s="41">
        <v>723.12</v>
      </c>
    </row>
    <row r="699" spans="1:11" x14ac:dyDescent="0.2">
      <c r="A699" s="43">
        <v>46143</v>
      </c>
      <c r="B699" t="s">
        <v>0</v>
      </c>
      <c r="C699" s="1">
        <v>38001001004</v>
      </c>
      <c r="D699" t="s">
        <v>62</v>
      </c>
      <c r="E699" s="39" t="s">
        <v>392</v>
      </c>
      <c r="F699" s="1">
        <v>1159</v>
      </c>
      <c r="G699" t="s">
        <v>14</v>
      </c>
      <c r="H699" s="1">
        <v>47</v>
      </c>
      <c r="I699" s="40">
        <v>1150</v>
      </c>
      <c r="J699" t="s">
        <v>15</v>
      </c>
      <c r="K699" s="41">
        <v>1010.19</v>
      </c>
    </row>
    <row r="700" spans="1:11" x14ac:dyDescent="0.2">
      <c r="A700" s="43">
        <v>46143</v>
      </c>
      <c r="B700" t="s">
        <v>0</v>
      </c>
      <c r="C700" s="1">
        <v>38001001004</v>
      </c>
      <c r="D700" t="s">
        <v>62</v>
      </c>
      <c r="E700" s="39" t="s">
        <v>393</v>
      </c>
      <c r="F700" s="1">
        <v>1159</v>
      </c>
      <c r="G700" t="s">
        <v>14</v>
      </c>
      <c r="H700" s="1">
        <v>47</v>
      </c>
      <c r="I700" s="40">
        <v>1150</v>
      </c>
      <c r="J700" t="s">
        <v>15</v>
      </c>
      <c r="K700" s="41">
        <v>2346.9899999999998</v>
      </c>
    </row>
    <row r="701" spans="1:11" x14ac:dyDescent="0.2">
      <c r="A701" s="43">
        <v>46143</v>
      </c>
      <c r="B701" t="s">
        <v>0</v>
      </c>
      <c r="C701" s="1">
        <v>38001001004</v>
      </c>
      <c r="D701" t="s">
        <v>62</v>
      </c>
      <c r="E701" s="39" t="s">
        <v>392</v>
      </c>
      <c r="F701" s="1">
        <v>1159</v>
      </c>
      <c r="G701" t="s">
        <v>14</v>
      </c>
      <c r="H701" s="1">
        <v>47</v>
      </c>
      <c r="I701" s="40">
        <v>1160</v>
      </c>
      <c r="J701" t="s">
        <v>13</v>
      </c>
      <c r="K701" s="41">
        <v>5764.92</v>
      </c>
    </row>
    <row r="702" spans="1:11" x14ac:dyDescent="0.2">
      <c r="A702" s="43">
        <v>46143</v>
      </c>
      <c r="B702" t="s">
        <v>41</v>
      </c>
      <c r="C702" s="1">
        <v>38001019004</v>
      </c>
      <c r="D702" t="s">
        <v>40</v>
      </c>
      <c r="E702" s="39" t="s">
        <v>394</v>
      </c>
      <c r="F702" s="1">
        <v>1159</v>
      </c>
      <c r="G702" t="s">
        <v>14</v>
      </c>
      <c r="H702" s="1">
        <v>47</v>
      </c>
      <c r="I702" s="40">
        <v>1150</v>
      </c>
      <c r="J702" t="s">
        <v>15</v>
      </c>
      <c r="K702" s="41">
        <v>78.8</v>
      </c>
    </row>
    <row r="703" spans="1:11" x14ac:dyDescent="0.2">
      <c r="A703" s="43">
        <v>46143</v>
      </c>
      <c r="B703" t="s">
        <v>41</v>
      </c>
      <c r="C703" s="1">
        <v>38001019004</v>
      </c>
      <c r="D703" t="s">
        <v>40</v>
      </c>
      <c r="E703" s="39" t="s">
        <v>395</v>
      </c>
      <c r="F703" s="1">
        <v>1159</v>
      </c>
      <c r="G703" t="s">
        <v>14</v>
      </c>
      <c r="H703" s="1">
        <v>47</v>
      </c>
      <c r="I703" s="40">
        <v>1150</v>
      </c>
      <c r="J703" t="s">
        <v>15</v>
      </c>
      <c r="K703" s="41">
        <v>251.2</v>
      </c>
    </row>
    <row r="704" spans="1:11" x14ac:dyDescent="0.2">
      <c r="A704" s="43">
        <v>46143</v>
      </c>
      <c r="B704" t="s">
        <v>107</v>
      </c>
      <c r="C704" s="1">
        <v>38001025001</v>
      </c>
      <c r="D704" t="s">
        <v>107</v>
      </c>
      <c r="E704" s="39" t="s">
        <v>353</v>
      </c>
      <c r="F704" s="1">
        <v>1159</v>
      </c>
      <c r="G704" t="s">
        <v>14</v>
      </c>
      <c r="H704" s="1">
        <v>47</v>
      </c>
      <c r="I704" s="40">
        <v>1150</v>
      </c>
      <c r="J704" t="s">
        <v>15</v>
      </c>
      <c r="K704" s="41">
        <v>5532.96</v>
      </c>
    </row>
    <row r="705" spans="1:11" x14ac:dyDescent="0.2">
      <c r="A705" s="43">
        <v>46143</v>
      </c>
      <c r="B705" t="s">
        <v>107</v>
      </c>
      <c r="C705" s="1">
        <v>38001025001</v>
      </c>
      <c r="D705" t="s">
        <v>107</v>
      </c>
      <c r="E705" s="39" t="s">
        <v>353</v>
      </c>
      <c r="F705" s="1">
        <v>1159</v>
      </c>
      <c r="G705" t="s">
        <v>14</v>
      </c>
      <c r="H705" s="1">
        <v>47</v>
      </c>
      <c r="I705" s="40">
        <v>1159</v>
      </c>
      <c r="J705" t="s">
        <v>14</v>
      </c>
      <c r="K705" s="41">
        <v>5414.28</v>
      </c>
    </row>
    <row r="706" spans="1:11" x14ac:dyDescent="0.2">
      <c r="A706" s="43">
        <v>46143</v>
      </c>
      <c r="B706" t="s">
        <v>107</v>
      </c>
      <c r="C706" s="1">
        <v>38001025001</v>
      </c>
      <c r="D706" t="s">
        <v>107</v>
      </c>
      <c r="E706" s="39" t="s">
        <v>353</v>
      </c>
      <c r="F706" s="1">
        <v>1159</v>
      </c>
      <c r="G706" t="s">
        <v>14</v>
      </c>
      <c r="H706" s="1">
        <v>47</v>
      </c>
      <c r="I706" s="40">
        <v>1160</v>
      </c>
      <c r="J706" t="s">
        <v>13</v>
      </c>
      <c r="K706" s="41">
        <v>5045.5600000000004</v>
      </c>
    </row>
    <row r="707" spans="1:11" x14ac:dyDescent="0.2">
      <c r="A707" s="43">
        <v>46143</v>
      </c>
      <c r="B707" t="s">
        <v>38</v>
      </c>
      <c r="C707" s="1">
        <v>38001023004</v>
      </c>
      <c r="D707" t="s">
        <v>36</v>
      </c>
      <c r="E707" s="39" t="s">
        <v>397</v>
      </c>
      <c r="F707" s="1">
        <v>1159</v>
      </c>
      <c r="G707" t="s">
        <v>14</v>
      </c>
      <c r="H707" s="1">
        <v>47</v>
      </c>
      <c r="I707" s="40">
        <v>1150</v>
      </c>
      <c r="J707" t="s">
        <v>15</v>
      </c>
      <c r="K707" s="41">
        <v>613.19000000000005</v>
      </c>
    </row>
    <row r="708" spans="1:11" x14ac:dyDescent="0.2">
      <c r="A708" s="43">
        <v>46143</v>
      </c>
      <c r="B708" t="s">
        <v>38</v>
      </c>
      <c r="C708" s="1">
        <v>38001023004</v>
      </c>
      <c r="D708" t="s">
        <v>36</v>
      </c>
      <c r="E708" s="39" t="s">
        <v>397</v>
      </c>
      <c r="F708" s="1">
        <v>1159</v>
      </c>
      <c r="G708" t="s">
        <v>14</v>
      </c>
      <c r="H708" s="1">
        <v>47</v>
      </c>
      <c r="I708" s="40">
        <v>1159</v>
      </c>
      <c r="J708" t="s">
        <v>14</v>
      </c>
      <c r="K708" s="41">
        <v>577.52</v>
      </c>
    </row>
    <row r="709" spans="1:11" x14ac:dyDescent="0.2">
      <c r="A709" s="43">
        <v>46143</v>
      </c>
      <c r="B709" t="s">
        <v>38</v>
      </c>
      <c r="C709" s="1">
        <v>38001023004</v>
      </c>
      <c r="D709" t="s">
        <v>36</v>
      </c>
      <c r="E709" s="39" t="s">
        <v>397</v>
      </c>
      <c r="F709" s="1">
        <v>1159</v>
      </c>
      <c r="G709" t="s">
        <v>14</v>
      </c>
      <c r="H709" s="1">
        <v>47</v>
      </c>
      <c r="I709" s="40">
        <v>1160</v>
      </c>
      <c r="J709" t="s">
        <v>13</v>
      </c>
      <c r="K709" s="41">
        <v>538.21</v>
      </c>
    </row>
    <row r="710" spans="1:11" x14ac:dyDescent="0.2">
      <c r="A710" s="43">
        <v>46143</v>
      </c>
      <c r="B710" t="s">
        <v>35</v>
      </c>
      <c r="C710" s="1">
        <v>38001013002</v>
      </c>
      <c r="D710" t="s">
        <v>34</v>
      </c>
      <c r="E710" s="39" t="s">
        <v>388</v>
      </c>
      <c r="F710" s="1">
        <v>1159</v>
      </c>
      <c r="G710" t="s">
        <v>14</v>
      </c>
      <c r="H710" s="1">
        <v>47</v>
      </c>
      <c r="I710" s="40">
        <v>1150</v>
      </c>
      <c r="J710" t="s">
        <v>15</v>
      </c>
      <c r="K710" s="41">
        <v>-5311.61</v>
      </c>
    </row>
    <row r="711" spans="1:11" x14ac:dyDescent="0.2">
      <c r="A711" s="43">
        <v>46143</v>
      </c>
      <c r="B711" t="s">
        <v>35</v>
      </c>
      <c r="C711" s="1">
        <v>38001013002</v>
      </c>
      <c r="D711" t="s">
        <v>34</v>
      </c>
      <c r="E711" s="39" t="s">
        <v>375</v>
      </c>
      <c r="F711" s="1">
        <v>1159</v>
      </c>
      <c r="G711" t="s">
        <v>14</v>
      </c>
      <c r="H711" s="1">
        <v>47</v>
      </c>
      <c r="I711" s="40">
        <v>1150</v>
      </c>
      <c r="J711" t="s">
        <v>15</v>
      </c>
      <c r="K711" s="41">
        <v>-22676.14</v>
      </c>
    </row>
    <row r="712" spans="1:11" x14ac:dyDescent="0.2">
      <c r="A712" s="43">
        <v>46143</v>
      </c>
      <c r="B712" t="s">
        <v>35</v>
      </c>
      <c r="C712" s="1">
        <v>38001013004</v>
      </c>
      <c r="D712" t="s">
        <v>33</v>
      </c>
      <c r="E712" s="39" t="s">
        <v>388</v>
      </c>
      <c r="F712" s="1">
        <v>1159</v>
      </c>
      <c r="G712" t="s">
        <v>14</v>
      </c>
      <c r="H712" s="1">
        <v>47</v>
      </c>
      <c r="I712" s="40">
        <v>1150</v>
      </c>
      <c r="J712" t="s">
        <v>15</v>
      </c>
      <c r="K712" s="41">
        <v>5311.61</v>
      </c>
    </row>
    <row r="713" spans="1:11" x14ac:dyDescent="0.2">
      <c r="A713" s="43">
        <v>46143</v>
      </c>
      <c r="B713" t="s">
        <v>35</v>
      </c>
      <c r="C713" s="1">
        <v>38001013004</v>
      </c>
      <c r="D713" t="s">
        <v>33</v>
      </c>
      <c r="E713" s="39" t="s">
        <v>375</v>
      </c>
      <c r="F713" s="1">
        <v>1159</v>
      </c>
      <c r="G713" t="s">
        <v>14</v>
      </c>
      <c r="H713" s="1">
        <v>47</v>
      </c>
      <c r="I713" s="40">
        <v>1150</v>
      </c>
      <c r="J713" t="s">
        <v>15</v>
      </c>
      <c r="K713" s="41">
        <v>22676.14</v>
      </c>
    </row>
    <row r="714" spans="1:11" x14ac:dyDescent="0.2">
      <c r="A714" s="43">
        <v>46143</v>
      </c>
      <c r="B714" t="s">
        <v>35</v>
      </c>
      <c r="C714" s="1">
        <v>38001013002</v>
      </c>
      <c r="D714" t="s">
        <v>34</v>
      </c>
      <c r="E714" s="39" t="s">
        <v>389</v>
      </c>
      <c r="F714" s="1">
        <v>1159</v>
      </c>
      <c r="G714" t="s">
        <v>14</v>
      </c>
      <c r="H714" s="1">
        <v>47</v>
      </c>
      <c r="I714" s="40">
        <v>1159</v>
      </c>
      <c r="J714" t="s">
        <v>14</v>
      </c>
      <c r="K714" s="41">
        <v>-5605.95</v>
      </c>
    </row>
    <row r="715" spans="1:11" x14ac:dyDescent="0.2">
      <c r="A715" s="43">
        <v>46143</v>
      </c>
      <c r="B715" t="s">
        <v>35</v>
      </c>
      <c r="C715" s="1">
        <v>38001013004</v>
      </c>
      <c r="D715" t="s">
        <v>33</v>
      </c>
      <c r="E715" s="39" t="s">
        <v>389</v>
      </c>
      <c r="F715" s="1">
        <v>1159</v>
      </c>
      <c r="G715" t="s">
        <v>14</v>
      </c>
      <c r="H715" s="1">
        <v>47</v>
      </c>
      <c r="I715" s="40">
        <v>1159</v>
      </c>
      <c r="J715" t="s">
        <v>14</v>
      </c>
      <c r="K715" s="41">
        <v>5605.95</v>
      </c>
    </row>
    <row r="716" spans="1:11" x14ac:dyDescent="0.2">
      <c r="A716" s="43">
        <v>46143</v>
      </c>
      <c r="B716" t="s">
        <v>35</v>
      </c>
      <c r="C716" s="1">
        <v>38001013002</v>
      </c>
      <c r="D716" t="s">
        <v>34</v>
      </c>
      <c r="E716" s="39" t="s">
        <v>390</v>
      </c>
      <c r="F716" s="1">
        <v>1159</v>
      </c>
      <c r="G716" t="s">
        <v>14</v>
      </c>
      <c r="H716" s="1">
        <v>47</v>
      </c>
      <c r="I716" s="40">
        <v>1160</v>
      </c>
      <c r="J716" t="s">
        <v>13</v>
      </c>
      <c r="K716" s="41">
        <v>-5185.96</v>
      </c>
    </row>
    <row r="717" spans="1:11" x14ac:dyDescent="0.2">
      <c r="A717" s="43">
        <v>46143</v>
      </c>
      <c r="B717" t="s">
        <v>35</v>
      </c>
      <c r="C717" s="1">
        <v>38001013004</v>
      </c>
      <c r="D717" t="s">
        <v>33</v>
      </c>
      <c r="E717" s="39" t="s">
        <v>390</v>
      </c>
      <c r="F717" s="1">
        <v>1159</v>
      </c>
      <c r="G717" t="s">
        <v>14</v>
      </c>
      <c r="H717" s="1">
        <v>47</v>
      </c>
      <c r="I717" s="40">
        <v>1160</v>
      </c>
      <c r="J717" t="s">
        <v>13</v>
      </c>
      <c r="K717" s="41">
        <v>5185.96</v>
      </c>
    </row>
    <row r="718" spans="1:11" x14ac:dyDescent="0.2">
      <c r="A718" s="43">
        <v>46143</v>
      </c>
      <c r="B718" t="s">
        <v>35</v>
      </c>
      <c r="C718" s="1">
        <v>38001013001</v>
      </c>
      <c r="D718" t="s">
        <v>35</v>
      </c>
      <c r="E718" s="39" t="s">
        <v>398</v>
      </c>
      <c r="F718" s="1">
        <v>1159</v>
      </c>
      <c r="G718" t="s">
        <v>14</v>
      </c>
      <c r="H718" s="1">
        <v>47</v>
      </c>
      <c r="I718" s="40">
        <v>1150</v>
      </c>
      <c r="J718" t="s">
        <v>15</v>
      </c>
      <c r="K718" s="41">
        <v>14296.14</v>
      </c>
    </row>
    <row r="719" spans="1:11" x14ac:dyDescent="0.2">
      <c r="A719" s="43">
        <v>46143</v>
      </c>
      <c r="B719" t="s">
        <v>35</v>
      </c>
      <c r="C719" s="1">
        <v>38001013002</v>
      </c>
      <c r="D719" t="s">
        <v>34</v>
      </c>
      <c r="E719" s="39" t="s">
        <v>398</v>
      </c>
      <c r="F719" s="1">
        <v>1159</v>
      </c>
      <c r="G719" t="s">
        <v>14</v>
      </c>
      <c r="H719" s="1">
        <v>47</v>
      </c>
      <c r="I719" s="40">
        <v>1150</v>
      </c>
      <c r="J719" t="s">
        <v>15</v>
      </c>
      <c r="K719" s="41">
        <v>-14296.14</v>
      </c>
    </row>
    <row r="720" spans="1:11" x14ac:dyDescent="0.2">
      <c r="A720" s="43">
        <v>46143</v>
      </c>
      <c r="B720" t="s">
        <v>125</v>
      </c>
      <c r="C720" s="1">
        <v>38001027008</v>
      </c>
      <c r="D720" t="s">
        <v>12</v>
      </c>
      <c r="E720" s="39" t="s">
        <v>399</v>
      </c>
      <c r="F720" s="1">
        <v>1159</v>
      </c>
      <c r="G720" t="s">
        <v>14</v>
      </c>
      <c r="H720" s="1">
        <v>47</v>
      </c>
      <c r="I720" s="40">
        <v>1150</v>
      </c>
      <c r="J720" t="s">
        <v>15</v>
      </c>
      <c r="K720" s="41">
        <v>1575</v>
      </c>
    </row>
    <row r="721" spans="1:11" x14ac:dyDescent="0.2">
      <c r="A721" s="43">
        <v>46143</v>
      </c>
      <c r="B721" t="s">
        <v>125</v>
      </c>
      <c r="C721" s="1">
        <v>38001027008</v>
      </c>
      <c r="D721" t="s">
        <v>12</v>
      </c>
      <c r="E721" s="39" t="s">
        <v>399</v>
      </c>
      <c r="F721" s="1">
        <v>1159</v>
      </c>
      <c r="G721" t="s">
        <v>14</v>
      </c>
      <c r="H721" s="1">
        <v>47</v>
      </c>
      <c r="I721" s="40">
        <v>1160</v>
      </c>
      <c r="J721" t="s">
        <v>13</v>
      </c>
      <c r="K721" s="41">
        <v>975</v>
      </c>
    </row>
    <row r="722" spans="1:11" x14ac:dyDescent="0.2">
      <c r="A722" s="43">
        <v>46143</v>
      </c>
      <c r="B722" t="s">
        <v>35</v>
      </c>
      <c r="C722" s="1">
        <v>38001013002</v>
      </c>
      <c r="D722" t="s">
        <v>34</v>
      </c>
      <c r="E722" s="39" t="s">
        <v>400</v>
      </c>
      <c r="F722" s="1">
        <v>1159</v>
      </c>
      <c r="G722" t="s">
        <v>14</v>
      </c>
      <c r="H722" s="1">
        <v>47</v>
      </c>
      <c r="I722" s="40">
        <v>1150</v>
      </c>
      <c r="J722" t="s">
        <v>15</v>
      </c>
      <c r="K722" s="41">
        <v>2089.19</v>
      </c>
    </row>
    <row r="723" spans="1:11" x14ac:dyDescent="0.2">
      <c r="A723" s="43">
        <v>46143</v>
      </c>
      <c r="B723" t="s">
        <v>35</v>
      </c>
      <c r="C723" s="1">
        <v>38001013002</v>
      </c>
      <c r="D723" t="s">
        <v>34</v>
      </c>
      <c r="E723" s="39" t="s">
        <v>401</v>
      </c>
      <c r="F723" s="1">
        <v>1159</v>
      </c>
      <c r="G723" t="s">
        <v>14</v>
      </c>
      <c r="H723" s="1">
        <v>47</v>
      </c>
      <c r="I723" s="40">
        <v>1150</v>
      </c>
      <c r="J723" t="s">
        <v>15</v>
      </c>
      <c r="K723" s="41">
        <v>4403.74</v>
      </c>
    </row>
    <row r="724" spans="1:11" x14ac:dyDescent="0.2">
      <c r="A724" s="43">
        <v>46143</v>
      </c>
      <c r="B724" t="s">
        <v>35</v>
      </c>
      <c r="C724" s="1">
        <v>38001013002</v>
      </c>
      <c r="D724" t="s">
        <v>34</v>
      </c>
      <c r="E724" s="39" t="s">
        <v>402</v>
      </c>
      <c r="F724" s="1">
        <v>1159</v>
      </c>
      <c r="G724" t="s">
        <v>14</v>
      </c>
      <c r="H724" s="1">
        <v>47</v>
      </c>
      <c r="I724" s="40">
        <v>1150</v>
      </c>
      <c r="J724" t="s">
        <v>15</v>
      </c>
      <c r="K724" s="41">
        <v>13279.15</v>
      </c>
    </row>
    <row r="725" spans="1:11" x14ac:dyDescent="0.2">
      <c r="A725" s="43">
        <v>46143</v>
      </c>
      <c r="B725" t="s">
        <v>35</v>
      </c>
      <c r="C725" s="1">
        <v>38001013002</v>
      </c>
      <c r="D725" t="s">
        <v>34</v>
      </c>
      <c r="E725" s="39" t="s">
        <v>403</v>
      </c>
      <c r="F725" s="1">
        <v>1159</v>
      </c>
      <c r="G725" t="s">
        <v>14</v>
      </c>
      <c r="H725" s="1">
        <v>47</v>
      </c>
      <c r="I725" s="40">
        <v>1150</v>
      </c>
      <c r="J725" t="s">
        <v>15</v>
      </c>
      <c r="K725" s="41">
        <v>-6639.57</v>
      </c>
    </row>
    <row r="726" spans="1:11" x14ac:dyDescent="0.2">
      <c r="A726" s="43">
        <v>46143</v>
      </c>
      <c r="B726" t="s">
        <v>66</v>
      </c>
      <c r="C726" s="1">
        <v>38001011003</v>
      </c>
      <c r="D726" t="s">
        <v>68</v>
      </c>
      <c r="E726" s="39" t="s">
        <v>404</v>
      </c>
      <c r="F726" s="1">
        <v>1159</v>
      </c>
      <c r="G726" t="s">
        <v>14</v>
      </c>
      <c r="H726" s="1">
        <v>47</v>
      </c>
      <c r="I726" s="40">
        <v>1150</v>
      </c>
      <c r="J726" t="s">
        <v>15</v>
      </c>
      <c r="K726" s="41">
        <v>17225</v>
      </c>
    </row>
    <row r="727" spans="1:11" x14ac:dyDescent="0.2">
      <c r="A727" s="43">
        <v>46143</v>
      </c>
      <c r="B727" t="s">
        <v>66</v>
      </c>
      <c r="C727" s="1">
        <v>38001011004</v>
      </c>
      <c r="D727" t="s">
        <v>65</v>
      </c>
      <c r="E727" s="39" t="s">
        <v>405</v>
      </c>
      <c r="F727" s="1">
        <v>1159</v>
      </c>
      <c r="G727" t="s">
        <v>14</v>
      </c>
      <c r="H727" s="1">
        <v>47</v>
      </c>
      <c r="I727" s="40">
        <v>1150</v>
      </c>
      <c r="J727" t="s">
        <v>15</v>
      </c>
      <c r="K727" s="41">
        <v>40.35</v>
      </c>
    </row>
    <row r="728" spans="1:11" x14ac:dyDescent="0.2">
      <c r="A728" s="43">
        <v>46143</v>
      </c>
      <c r="B728" t="s">
        <v>66</v>
      </c>
      <c r="C728" s="1">
        <v>38001011002</v>
      </c>
      <c r="D728" t="s">
        <v>67</v>
      </c>
      <c r="E728" s="39" t="s">
        <v>335</v>
      </c>
      <c r="F728" s="1">
        <v>1159</v>
      </c>
      <c r="G728" t="s">
        <v>14</v>
      </c>
      <c r="H728" s="1">
        <v>47</v>
      </c>
      <c r="I728" s="40">
        <v>1150</v>
      </c>
      <c r="J728" t="s">
        <v>15</v>
      </c>
      <c r="K728" s="41">
        <v>-861.84</v>
      </c>
    </row>
    <row r="729" spans="1:11" x14ac:dyDescent="0.2">
      <c r="A729" s="43">
        <v>46143</v>
      </c>
      <c r="B729" t="s">
        <v>66</v>
      </c>
      <c r="C729" s="1">
        <v>38001011003</v>
      </c>
      <c r="D729" t="s">
        <v>68</v>
      </c>
      <c r="E729" s="39" t="s">
        <v>335</v>
      </c>
      <c r="F729" s="1">
        <v>1159</v>
      </c>
      <c r="G729" t="s">
        <v>14</v>
      </c>
      <c r="H729" s="1">
        <v>47</v>
      </c>
      <c r="I729" s="40">
        <v>1150</v>
      </c>
      <c r="J729" t="s">
        <v>15</v>
      </c>
      <c r="K729" s="41">
        <v>-16.899999999999999</v>
      </c>
    </row>
    <row r="730" spans="1:11" x14ac:dyDescent="0.2">
      <c r="A730" s="43">
        <v>46143</v>
      </c>
      <c r="B730" t="s">
        <v>66</v>
      </c>
      <c r="C730" s="1">
        <v>38001011003</v>
      </c>
      <c r="D730" t="s">
        <v>68</v>
      </c>
      <c r="E730" s="39" t="s">
        <v>335</v>
      </c>
      <c r="F730" s="1">
        <v>1159</v>
      </c>
      <c r="G730" t="s">
        <v>14</v>
      </c>
      <c r="H730" s="1">
        <v>47</v>
      </c>
      <c r="I730" s="40">
        <v>1160</v>
      </c>
      <c r="J730" t="s">
        <v>13</v>
      </c>
      <c r="K730" s="41">
        <v>-1500</v>
      </c>
    </row>
    <row r="731" spans="1:11" x14ac:dyDescent="0.2">
      <c r="A731" s="43">
        <v>46143</v>
      </c>
      <c r="B731" t="s">
        <v>0</v>
      </c>
      <c r="C731" s="1">
        <v>38001001004</v>
      </c>
      <c r="D731" t="s">
        <v>62</v>
      </c>
      <c r="E731" s="39" t="s">
        <v>335</v>
      </c>
      <c r="F731" s="1">
        <v>1159</v>
      </c>
      <c r="G731" t="s">
        <v>14</v>
      </c>
      <c r="H731" s="1">
        <v>47</v>
      </c>
      <c r="I731" s="40">
        <v>1150</v>
      </c>
      <c r="J731" t="s">
        <v>15</v>
      </c>
      <c r="K731" s="41">
        <v>-88.44</v>
      </c>
    </row>
    <row r="732" spans="1:11" x14ac:dyDescent="0.2">
      <c r="A732" s="43">
        <v>46143</v>
      </c>
      <c r="B732" t="s">
        <v>66</v>
      </c>
      <c r="C732" s="1">
        <v>38001011004</v>
      </c>
      <c r="D732" t="s">
        <v>65</v>
      </c>
      <c r="E732" s="39" t="s">
        <v>406</v>
      </c>
      <c r="F732" s="1">
        <v>1159</v>
      </c>
      <c r="G732" t="s">
        <v>14</v>
      </c>
      <c r="H732" s="1">
        <v>47</v>
      </c>
      <c r="I732" s="40">
        <v>1150</v>
      </c>
      <c r="J732" t="s">
        <v>15</v>
      </c>
      <c r="K732" s="41">
        <v>583.98</v>
      </c>
    </row>
    <row r="733" spans="1:11" x14ac:dyDescent="0.2">
      <c r="A733" s="43">
        <v>46143</v>
      </c>
      <c r="B733" t="s">
        <v>132</v>
      </c>
      <c r="C733" s="1">
        <v>38001003004</v>
      </c>
      <c r="D733" t="s">
        <v>43</v>
      </c>
      <c r="E733" s="39" t="s">
        <v>407</v>
      </c>
      <c r="F733" s="1">
        <v>1159</v>
      </c>
      <c r="G733" t="s">
        <v>14</v>
      </c>
      <c r="H733" s="1">
        <v>47</v>
      </c>
      <c r="I733" s="40">
        <v>1150</v>
      </c>
      <c r="J733" t="s">
        <v>15</v>
      </c>
      <c r="K733" s="41">
        <v>134</v>
      </c>
    </row>
    <row r="734" spans="1:11" x14ac:dyDescent="0.2">
      <c r="A734" s="43">
        <v>46143</v>
      </c>
      <c r="B734" t="s">
        <v>66</v>
      </c>
      <c r="C734" s="1">
        <v>38001011004</v>
      </c>
      <c r="D734" t="s">
        <v>65</v>
      </c>
      <c r="E734" s="39" t="s">
        <v>408</v>
      </c>
      <c r="F734" s="1">
        <v>1159</v>
      </c>
      <c r="G734" t="s">
        <v>14</v>
      </c>
      <c r="H734" s="1">
        <v>47</v>
      </c>
      <c r="I734" s="40">
        <v>1150</v>
      </c>
      <c r="J734" t="s">
        <v>15</v>
      </c>
      <c r="K734" s="41">
        <v>164.05</v>
      </c>
    </row>
    <row r="735" spans="1:11" x14ac:dyDescent="0.2">
      <c r="A735" s="43">
        <v>46143</v>
      </c>
      <c r="B735" t="s">
        <v>35</v>
      </c>
      <c r="C735" s="1">
        <v>38001013002</v>
      </c>
      <c r="D735" t="s">
        <v>34</v>
      </c>
      <c r="E735" s="39" t="s">
        <v>409</v>
      </c>
      <c r="F735" s="1">
        <v>1159</v>
      </c>
      <c r="G735" t="s">
        <v>14</v>
      </c>
      <c r="H735" s="1">
        <v>47</v>
      </c>
      <c r="I735" s="40">
        <v>1159</v>
      </c>
      <c r="J735" t="s">
        <v>14</v>
      </c>
      <c r="K735" s="41">
        <v>1928.17</v>
      </c>
    </row>
    <row r="736" spans="1:11" x14ac:dyDescent="0.2">
      <c r="A736" s="43">
        <v>46143</v>
      </c>
      <c r="B736" t="s">
        <v>35</v>
      </c>
      <c r="C736" s="1">
        <v>38001013002</v>
      </c>
      <c r="D736" t="s">
        <v>34</v>
      </c>
      <c r="E736" s="39" t="s">
        <v>410</v>
      </c>
      <c r="F736" s="1">
        <v>1159</v>
      </c>
      <c r="G736" t="s">
        <v>14</v>
      </c>
      <c r="H736" s="1">
        <v>47</v>
      </c>
      <c r="I736" s="40">
        <v>1159</v>
      </c>
      <c r="J736" t="s">
        <v>14</v>
      </c>
      <c r="K736" s="41">
        <v>4064.33</v>
      </c>
    </row>
    <row r="737" spans="1:11" x14ac:dyDescent="0.2">
      <c r="A737" s="43">
        <v>46143</v>
      </c>
      <c r="B737" t="s">
        <v>35</v>
      </c>
      <c r="C737" s="1">
        <v>38001013002</v>
      </c>
      <c r="D737" t="s">
        <v>34</v>
      </c>
      <c r="E737" s="39" t="s">
        <v>411</v>
      </c>
      <c r="F737" s="1">
        <v>1159</v>
      </c>
      <c r="G737" t="s">
        <v>14</v>
      </c>
      <c r="H737" s="1">
        <v>47</v>
      </c>
      <c r="I737" s="40">
        <v>1159</v>
      </c>
      <c r="J737" t="s">
        <v>14</v>
      </c>
      <c r="K737" s="41">
        <v>9932.43</v>
      </c>
    </row>
    <row r="738" spans="1:11" x14ac:dyDescent="0.2">
      <c r="A738" s="43">
        <v>46143</v>
      </c>
      <c r="B738" t="s">
        <v>35</v>
      </c>
      <c r="C738" s="1">
        <v>38001013002</v>
      </c>
      <c r="D738" t="s">
        <v>34</v>
      </c>
      <c r="E738" s="39" t="s">
        <v>412</v>
      </c>
      <c r="F738" s="1">
        <v>1159</v>
      </c>
      <c r="G738" t="s">
        <v>14</v>
      </c>
      <c r="H738" s="1">
        <v>47</v>
      </c>
      <c r="I738" s="40">
        <v>1159</v>
      </c>
      <c r="J738" t="s">
        <v>14</v>
      </c>
      <c r="K738" s="41">
        <v>-4966.22</v>
      </c>
    </row>
    <row r="739" spans="1:11" x14ac:dyDescent="0.2">
      <c r="A739" s="43">
        <v>46143</v>
      </c>
      <c r="B739" t="s">
        <v>35</v>
      </c>
      <c r="C739" s="1">
        <v>38001013002</v>
      </c>
      <c r="D739" t="s">
        <v>34</v>
      </c>
      <c r="E739" s="39" t="s">
        <v>413</v>
      </c>
      <c r="F739" s="1">
        <v>1159</v>
      </c>
      <c r="G739" t="s">
        <v>14</v>
      </c>
      <c r="H739" s="1">
        <v>47</v>
      </c>
      <c r="I739" s="40">
        <v>1160</v>
      </c>
      <c r="J739" t="s">
        <v>13</v>
      </c>
      <c r="K739" s="41">
        <v>1783.72</v>
      </c>
    </row>
    <row r="740" spans="1:11" x14ac:dyDescent="0.2">
      <c r="A740" s="43">
        <v>46143</v>
      </c>
      <c r="B740" t="s">
        <v>35</v>
      </c>
      <c r="C740" s="1">
        <v>38001013002</v>
      </c>
      <c r="D740" t="s">
        <v>34</v>
      </c>
      <c r="E740" s="39" t="s">
        <v>414</v>
      </c>
      <c r="F740" s="1">
        <v>1159</v>
      </c>
      <c r="G740" t="s">
        <v>14</v>
      </c>
      <c r="H740" s="1">
        <v>47</v>
      </c>
      <c r="I740" s="40">
        <v>1160</v>
      </c>
      <c r="J740" t="s">
        <v>13</v>
      </c>
      <c r="K740" s="41">
        <v>3759.84</v>
      </c>
    </row>
    <row r="741" spans="1:11" x14ac:dyDescent="0.2">
      <c r="A741" s="43">
        <v>46143</v>
      </c>
      <c r="B741" t="s">
        <v>35</v>
      </c>
      <c r="C741" s="1">
        <v>38001013002</v>
      </c>
      <c r="D741" t="s">
        <v>34</v>
      </c>
      <c r="E741" s="39" t="s">
        <v>415</v>
      </c>
      <c r="F741" s="1">
        <v>1159</v>
      </c>
      <c r="G741" t="s">
        <v>14</v>
      </c>
      <c r="H741" s="1">
        <v>47</v>
      </c>
      <c r="I741" s="40">
        <v>1160</v>
      </c>
      <c r="J741" t="s">
        <v>13</v>
      </c>
      <c r="K741" s="41">
        <v>9542.65</v>
      </c>
    </row>
    <row r="742" spans="1:11" x14ac:dyDescent="0.2">
      <c r="A742" s="43">
        <v>46143</v>
      </c>
      <c r="B742" t="s">
        <v>35</v>
      </c>
      <c r="C742" s="1">
        <v>38001013002</v>
      </c>
      <c r="D742" t="s">
        <v>34</v>
      </c>
      <c r="E742" s="39" t="s">
        <v>416</v>
      </c>
      <c r="F742" s="1">
        <v>1159</v>
      </c>
      <c r="G742" t="s">
        <v>14</v>
      </c>
      <c r="H742" s="1">
        <v>47</v>
      </c>
      <c r="I742" s="40">
        <v>1160</v>
      </c>
      <c r="J742" t="s">
        <v>13</v>
      </c>
      <c r="K742" s="41">
        <v>-4771.33</v>
      </c>
    </row>
    <row r="743" spans="1:11" x14ac:dyDescent="0.2">
      <c r="A743" s="43">
        <v>46143</v>
      </c>
      <c r="B743" t="s">
        <v>50</v>
      </c>
      <c r="C743" s="1">
        <v>38001008004</v>
      </c>
      <c r="D743" t="s">
        <v>49</v>
      </c>
      <c r="E743" s="39" t="s">
        <v>417</v>
      </c>
      <c r="F743" s="1">
        <v>1159</v>
      </c>
      <c r="G743" t="s">
        <v>14</v>
      </c>
      <c r="H743" s="1">
        <v>47</v>
      </c>
      <c r="I743" s="40">
        <v>1159</v>
      </c>
      <c r="J743" t="s">
        <v>14</v>
      </c>
      <c r="K743" s="41">
        <v>108.49</v>
      </c>
    </row>
    <row r="744" spans="1:11" x14ac:dyDescent="0.2">
      <c r="A744" s="43">
        <v>46143</v>
      </c>
      <c r="B744" t="s">
        <v>50</v>
      </c>
      <c r="C744" s="1">
        <v>38001008004</v>
      </c>
      <c r="D744" t="s">
        <v>49</v>
      </c>
      <c r="E744" s="39" t="s">
        <v>418</v>
      </c>
      <c r="F744" s="1">
        <v>1159</v>
      </c>
      <c r="G744" t="s">
        <v>14</v>
      </c>
      <c r="H744" s="1">
        <v>47</v>
      </c>
      <c r="I744" s="40">
        <v>1159</v>
      </c>
      <c r="J744" t="s">
        <v>14</v>
      </c>
      <c r="K744" s="41">
        <v>259.56</v>
      </c>
    </row>
    <row r="745" spans="1:11" x14ac:dyDescent="0.2">
      <c r="A745" s="43">
        <v>46143</v>
      </c>
      <c r="B745" t="s">
        <v>50</v>
      </c>
      <c r="C745" s="1">
        <v>38001008004</v>
      </c>
      <c r="D745" t="s">
        <v>49</v>
      </c>
      <c r="E745" s="39" t="s">
        <v>419</v>
      </c>
      <c r="F745" s="1">
        <v>1159</v>
      </c>
      <c r="G745" t="s">
        <v>14</v>
      </c>
      <c r="H745" s="1">
        <v>47</v>
      </c>
      <c r="I745" s="40">
        <v>1159</v>
      </c>
      <c r="J745" t="s">
        <v>14</v>
      </c>
      <c r="K745" s="41">
        <v>3478.84</v>
      </c>
    </row>
    <row r="746" spans="1:11" x14ac:dyDescent="0.2">
      <c r="A746" s="43">
        <v>46143</v>
      </c>
      <c r="B746" t="s">
        <v>66</v>
      </c>
      <c r="C746" s="1">
        <v>38001011002</v>
      </c>
      <c r="D746" t="s">
        <v>67</v>
      </c>
      <c r="E746" s="39" t="s">
        <v>420</v>
      </c>
      <c r="F746" s="1">
        <v>1159</v>
      </c>
      <c r="G746" t="s">
        <v>14</v>
      </c>
      <c r="H746" s="1">
        <v>47</v>
      </c>
      <c r="I746" s="40">
        <v>1150</v>
      </c>
      <c r="J746" t="s">
        <v>15</v>
      </c>
      <c r="K746" s="41">
        <v>57456</v>
      </c>
    </row>
    <row r="747" spans="1:11" x14ac:dyDescent="0.2">
      <c r="A747" s="43">
        <v>46143</v>
      </c>
      <c r="B747" t="s">
        <v>35</v>
      </c>
      <c r="C747" s="1">
        <v>38001013002</v>
      </c>
      <c r="D747" t="s">
        <v>34</v>
      </c>
      <c r="E747" s="39" t="s">
        <v>354</v>
      </c>
      <c r="F747" s="1">
        <v>1159</v>
      </c>
      <c r="G747" t="s">
        <v>14</v>
      </c>
      <c r="H747" s="1">
        <v>47</v>
      </c>
      <c r="I747" s="40">
        <v>1150</v>
      </c>
      <c r="J747" t="s">
        <v>15</v>
      </c>
      <c r="K747" s="41">
        <v>0.67</v>
      </c>
    </row>
    <row r="748" spans="1:11" x14ac:dyDescent="0.2">
      <c r="A748" s="43">
        <v>46143</v>
      </c>
      <c r="B748" t="s">
        <v>35</v>
      </c>
      <c r="C748" s="1">
        <v>38001013002</v>
      </c>
      <c r="D748" t="s">
        <v>34</v>
      </c>
      <c r="E748" s="39" t="s">
        <v>355</v>
      </c>
      <c r="F748" s="1">
        <v>1159</v>
      </c>
      <c r="G748" t="s">
        <v>14</v>
      </c>
      <c r="H748" s="1">
        <v>47</v>
      </c>
      <c r="I748" s="40">
        <v>1150</v>
      </c>
      <c r="J748" t="s">
        <v>15</v>
      </c>
      <c r="K748" s="41">
        <v>71161.119999999995</v>
      </c>
    </row>
    <row r="749" spans="1:11" x14ac:dyDescent="0.2">
      <c r="A749" s="43">
        <v>46143</v>
      </c>
      <c r="B749" t="s">
        <v>35</v>
      </c>
      <c r="C749" s="1">
        <v>38001013002</v>
      </c>
      <c r="D749" t="s">
        <v>34</v>
      </c>
      <c r="E749" s="39" t="s">
        <v>356</v>
      </c>
      <c r="F749" s="1">
        <v>1159</v>
      </c>
      <c r="G749" t="s">
        <v>14</v>
      </c>
      <c r="H749" s="1">
        <v>47</v>
      </c>
      <c r="I749" s="40">
        <v>1150</v>
      </c>
      <c r="J749" t="s">
        <v>15</v>
      </c>
      <c r="K749" s="41">
        <v>-0.67</v>
      </c>
    </row>
    <row r="750" spans="1:11" x14ac:dyDescent="0.2">
      <c r="A750" s="43">
        <v>46143</v>
      </c>
      <c r="B750" t="s">
        <v>35</v>
      </c>
      <c r="C750" s="1">
        <v>38001013002</v>
      </c>
      <c r="D750" t="s">
        <v>34</v>
      </c>
      <c r="E750" s="39" t="s">
        <v>357</v>
      </c>
      <c r="F750" s="1">
        <v>1159</v>
      </c>
      <c r="G750" t="s">
        <v>14</v>
      </c>
      <c r="H750" s="1">
        <v>47</v>
      </c>
      <c r="I750" s="40">
        <v>1159</v>
      </c>
      <c r="J750" t="s">
        <v>14</v>
      </c>
      <c r="K750" s="41">
        <v>49662.17</v>
      </c>
    </row>
    <row r="751" spans="1:11" x14ac:dyDescent="0.2">
      <c r="A751" s="43">
        <v>46143</v>
      </c>
      <c r="B751" t="s">
        <v>35</v>
      </c>
      <c r="C751" s="1">
        <v>38001013002</v>
      </c>
      <c r="D751" t="s">
        <v>34</v>
      </c>
      <c r="E751" s="39" t="s">
        <v>358</v>
      </c>
      <c r="F751" s="1">
        <v>1159</v>
      </c>
      <c r="G751" t="s">
        <v>14</v>
      </c>
      <c r="H751" s="1">
        <v>47</v>
      </c>
      <c r="I751" s="40">
        <v>1160</v>
      </c>
      <c r="J751" t="s">
        <v>13</v>
      </c>
      <c r="K751" s="41">
        <v>47713.25</v>
      </c>
    </row>
    <row r="752" spans="1:11" x14ac:dyDescent="0.2">
      <c r="A752" s="43">
        <v>46143</v>
      </c>
      <c r="B752" t="s">
        <v>35</v>
      </c>
      <c r="C752" s="1">
        <v>38001013002</v>
      </c>
      <c r="D752" t="s">
        <v>34</v>
      </c>
      <c r="E752" s="39" t="s">
        <v>359</v>
      </c>
      <c r="F752" s="1">
        <v>1159</v>
      </c>
      <c r="G752" t="s">
        <v>14</v>
      </c>
      <c r="H752" s="1">
        <v>47</v>
      </c>
      <c r="I752" s="40">
        <v>1160</v>
      </c>
      <c r="J752" t="s">
        <v>13</v>
      </c>
      <c r="K752" s="41">
        <v>-9</v>
      </c>
    </row>
    <row r="753" spans="1:11" x14ac:dyDescent="0.2">
      <c r="A753" s="43">
        <v>46143</v>
      </c>
      <c r="B753" t="s">
        <v>35</v>
      </c>
      <c r="C753" s="1">
        <v>38001013002</v>
      </c>
      <c r="D753" t="s">
        <v>34</v>
      </c>
      <c r="E753" s="39" t="s">
        <v>360</v>
      </c>
      <c r="F753" s="1">
        <v>1159</v>
      </c>
      <c r="G753" t="s">
        <v>14</v>
      </c>
      <c r="H753" s="1">
        <v>47</v>
      </c>
      <c r="I753" s="40">
        <v>1160</v>
      </c>
      <c r="J753" t="s">
        <v>13</v>
      </c>
      <c r="K753" s="41">
        <v>-206.02</v>
      </c>
    </row>
    <row r="754" spans="1:11" x14ac:dyDescent="0.2">
      <c r="A754" s="43">
        <v>46143</v>
      </c>
      <c r="B754" t="s">
        <v>66</v>
      </c>
      <c r="C754" s="1">
        <v>38001011004</v>
      </c>
      <c r="D754" t="s">
        <v>65</v>
      </c>
      <c r="E754" s="39" t="s">
        <v>422</v>
      </c>
      <c r="F754" s="1">
        <v>1159</v>
      </c>
      <c r="G754" t="s">
        <v>14</v>
      </c>
      <c r="H754" s="1">
        <v>47</v>
      </c>
      <c r="I754" s="40">
        <v>1150</v>
      </c>
      <c r="J754" t="s">
        <v>15</v>
      </c>
      <c r="K754" s="41">
        <v>164.05</v>
      </c>
    </row>
    <row r="755" spans="1:11" x14ac:dyDescent="0.2">
      <c r="A755" s="43">
        <v>46143</v>
      </c>
      <c r="B755" t="s">
        <v>35</v>
      </c>
      <c r="C755" s="1">
        <v>38001013001</v>
      </c>
      <c r="D755" t="s">
        <v>35</v>
      </c>
      <c r="E755" s="39" t="s">
        <v>421</v>
      </c>
      <c r="F755" s="1">
        <v>1159</v>
      </c>
      <c r="G755" t="s">
        <v>14</v>
      </c>
      <c r="H755" s="1">
        <v>47</v>
      </c>
      <c r="I755" s="40">
        <v>1150</v>
      </c>
      <c r="J755" t="s">
        <v>15</v>
      </c>
      <c r="K755" s="41">
        <v>145.19</v>
      </c>
    </row>
    <row r="756" spans="1:11" x14ac:dyDescent="0.2">
      <c r="A756" s="43">
        <v>46143</v>
      </c>
      <c r="B756" t="s">
        <v>35</v>
      </c>
      <c r="C756" s="1">
        <v>38001013001</v>
      </c>
      <c r="D756" t="s">
        <v>35</v>
      </c>
      <c r="E756" s="39" t="s">
        <v>421</v>
      </c>
      <c r="F756" s="1">
        <v>1159</v>
      </c>
      <c r="G756" t="s">
        <v>14</v>
      </c>
      <c r="H756" s="1">
        <v>47</v>
      </c>
      <c r="I756" s="40">
        <v>1159</v>
      </c>
      <c r="J756" t="s">
        <v>14</v>
      </c>
      <c r="K756" s="41">
        <v>135.24</v>
      </c>
    </row>
    <row r="757" spans="1:11" x14ac:dyDescent="0.2">
      <c r="A757" s="43">
        <v>46143</v>
      </c>
      <c r="B757" t="s">
        <v>35</v>
      </c>
      <c r="C757" s="1">
        <v>38001013001</v>
      </c>
      <c r="D757" t="s">
        <v>35</v>
      </c>
      <c r="E757" s="39" t="s">
        <v>421</v>
      </c>
      <c r="F757" s="1">
        <v>1159</v>
      </c>
      <c r="G757" t="s">
        <v>14</v>
      </c>
      <c r="H757" s="1">
        <v>47</v>
      </c>
      <c r="I757" s="40">
        <v>1160</v>
      </c>
      <c r="J757" t="s">
        <v>13</v>
      </c>
      <c r="K757" s="41">
        <v>123.08</v>
      </c>
    </row>
    <row r="758" spans="1:11" x14ac:dyDescent="0.2">
      <c r="A758" s="43">
        <v>46143</v>
      </c>
      <c r="B758" t="s">
        <v>66</v>
      </c>
      <c r="C758" s="1">
        <v>38001011004</v>
      </c>
      <c r="D758" t="s">
        <v>65</v>
      </c>
      <c r="E758" s="39" t="s">
        <v>423</v>
      </c>
      <c r="F758" s="1">
        <v>1159</v>
      </c>
      <c r="G758" t="s">
        <v>14</v>
      </c>
      <c r="H758" s="1">
        <v>47</v>
      </c>
      <c r="I758" s="40">
        <v>1159</v>
      </c>
      <c r="J758" t="s">
        <v>14</v>
      </c>
      <c r="K758" s="41">
        <v>2108.04</v>
      </c>
    </row>
    <row r="759" spans="1:11" x14ac:dyDescent="0.2">
      <c r="A759" s="43">
        <v>46143</v>
      </c>
      <c r="B759" t="s">
        <v>66</v>
      </c>
      <c r="C759" s="1">
        <v>38001011004</v>
      </c>
      <c r="D759" t="s">
        <v>65</v>
      </c>
      <c r="E759" s="39" t="s">
        <v>423</v>
      </c>
      <c r="F759" s="1">
        <v>1159</v>
      </c>
      <c r="G759" t="s">
        <v>14</v>
      </c>
      <c r="H759" s="1">
        <v>47</v>
      </c>
      <c r="I759" s="40">
        <v>1159</v>
      </c>
      <c r="J759" t="s">
        <v>14</v>
      </c>
      <c r="K759" s="41">
        <v>-2108.04</v>
      </c>
    </row>
    <row r="760" spans="1:11" x14ac:dyDescent="0.2">
      <c r="A760" s="43">
        <v>46143</v>
      </c>
      <c r="B760" t="s">
        <v>66</v>
      </c>
      <c r="C760" s="1">
        <v>38001011003</v>
      </c>
      <c r="D760" t="s">
        <v>68</v>
      </c>
      <c r="E760" s="39" t="s">
        <v>404</v>
      </c>
      <c r="F760" s="1">
        <v>1159</v>
      </c>
      <c r="G760" t="s">
        <v>14</v>
      </c>
      <c r="H760" s="1">
        <v>47</v>
      </c>
      <c r="I760" s="40">
        <v>1150</v>
      </c>
      <c r="J760" t="s">
        <v>15</v>
      </c>
      <c r="K760" s="41">
        <v>17225</v>
      </c>
    </row>
    <row r="761" spans="1:11" x14ac:dyDescent="0.2">
      <c r="A761" s="43">
        <v>46143</v>
      </c>
      <c r="B761" t="s">
        <v>66</v>
      </c>
      <c r="C761" s="1">
        <v>38001011003</v>
      </c>
      <c r="D761" t="s">
        <v>68</v>
      </c>
      <c r="E761" s="39" t="s">
        <v>404</v>
      </c>
      <c r="F761" s="1">
        <v>1159</v>
      </c>
      <c r="G761" t="s">
        <v>14</v>
      </c>
      <c r="H761" s="1">
        <v>47</v>
      </c>
      <c r="I761" s="40">
        <v>1150</v>
      </c>
      <c r="J761" t="s">
        <v>15</v>
      </c>
      <c r="K761" s="41">
        <v>-17225</v>
      </c>
    </row>
    <row r="762" spans="1:11" x14ac:dyDescent="0.2">
      <c r="A762" s="43">
        <v>46143</v>
      </c>
      <c r="B762" t="s">
        <v>66</v>
      </c>
      <c r="C762" s="1">
        <v>38001011002</v>
      </c>
      <c r="D762" t="s">
        <v>67</v>
      </c>
      <c r="E762" s="39" t="s">
        <v>424</v>
      </c>
      <c r="F762" s="1">
        <v>1159</v>
      </c>
      <c r="G762" t="s">
        <v>14</v>
      </c>
      <c r="H762" s="1">
        <v>47</v>
      </c>
      <c r="I762" s="40">
        <v>1150</v>
      </c>
      <c r="J762" t="s">
        <v>15</v>
      </c>
      <c r="K762" s="41">
        <v>39415.5</v>
      </c>
    </row>
    <row r="763" spans="1:11" x14ac:dyDescent="0.2">
      <c r="A763" s="43">
        <v>46143</v>
      </c>
      <c r="B763" t="s">
        <v>66</v>
      </c>
      <c r="C763" s="1">
        <v>38001011002</v>
      </c>
      <c r="D763" t="s">
        <v>67</v>
      </c>
      <c r="E763" s="39" t="s">
        <v>425</v>
      </c>
      <c r="F763" s="1">
        <v>1159</v>
      </c>
      <c r="G763" t="s">
        <v>14</v>
      </c>
      <c r="H763" s="1">
        <v>47</v>
      </c>
      <c r="I763" s="40">
        <v>1150</v>
      </c>
      <c r="J763" t="s">
        <v>15</v>
      </c>
      <c r="K763" s="41">
        <v>43926.239999999998</v>
      </c>
    </row>
    <row r="764" spans="1:11" x14ac:dyDescent="0.2">
      <c r="A764" s="43">
        <v>46143</v>
      </c>
      <c r="B764" t="s">
        <v>41</v>
      </c>
      <c r="C764" s="1">
        <v>38001019004</v>
      </c>
      <c r="D764" t="s">
        <v>40</v>
      </c>
      <c r="E764" s="39" t="s">
        <v>426</v>
      </c>
      <c r="F764" s="1">
        <v>1159</v>
      </c>
      <c r="G764" t="s">
        <v>14</v>
      </c>
      <c r="H764" s="1">
        <v>47</v>
      </c>
      <c r="I764" s="40">
        <v>1150</v>
      </c>
      <c r="J764" t="s">
        <v>15</v>
      </c>
      <c r="K764" s="41">
        <v>110.5</v>
      </c>
    </row>
    <row r="765" spans="1:11" x14ac:dyDescent="0.2">
      <c r="A765" s="43">
        <v>46143</v>
      </c>
      <c r="B765" t="s">
        <v>41</v>
      </c>
      <c r="C765" s="1">
        <v>38001019005</v>
      </c>
      <c r="D765" t="s">
        <v>52</v>
      </c>
      <c r="E765" s="39" t="s">
        <v>427</v>
      </c>
      <c r="F765" s="1">
        <v>1159</v>
      </c>
      <c r="G765" t="s">
        <v>14</v>
      </c>
      <c r="H765" s="1">
        <v>47</v>
      </c>
      <c r="I765" s="40">
        <v>1159</v>
      </c>
      <c r="J765" t="s">
        <v>14</v>
      </c>
      <c r="K765" s="41">
        <v>2168.67</v>
      </c>
    </row>
    <row r="766" spans="1:11" x14ac:dyDescent="0.2">
      <c r="A766" s="43">
        <v>46143</v>
      </c>
      <c r="B766" t="s">
        <v>35</v>
      </c>
      <c r="C766" s="1">
        <v>38001013002</v>
      </c>
      <c r="D766" t="s">
        <v>34</v>
      </c>
      <c r="E766" s="39" t="s">
        <v>398</v>
      </c>
      <c r="F766" s="1">
        <v>1159</v>
      </c>
      <c r="G766" t="s">
        <v>14</v>
      </c>
      <c r="H766" s="1">
        <v>47</v>
      </c>
      <c r="I766" s="40">
        <v>1150</v>
      </c>
      <c r="J766" t="s">
        <v>15</v>
      </c>
      <c r="K766" s="41">
        <v>14296.14</v>
      </c>
    </row>
    <row r="767" spans="1:11" x14ac:dyDescent="0.2">
      <c r="A767" s="43">
        <v>46143</v>
      </c>
      <c r="B767" t="s">
        <v>66</v>
      </c>
      <c r="C767" s="1">
        <v>38001011003</v>
      </c>
      <c r="D767" t="s">
        <v>68</v>
      </c>
      <c r="E767" s="39" t="s">
        <v>428</v>
      </c>
      <c r="F767" s="1">
        <v>1159</v>
      </c>
      <c r="G767" t="s">
        <v>14</v>
      </c>
      <c r="H767" s="1">
        <v>47</v>
      </c>
      <c r="I767" s="40">
        <v>1150</v>
      </c>
      <c r="J767" t="s">
        <v>15</v>
      </c>
      <c r="K767" s="41">
        <v>28595.05</v>
      </c>
    </row>
    <row r="768" spans="1:11" x14ac:dyDescent="0.2">
      <c r="A768" s="43">
        <v>46143</v>
      </c>
      <c r="B768" t="s">
        <v>66</v>
      </c>
      <c r="C768" s="1">
        <v>38001011003</v>
      </c>
      <c r="D768" t="s">
        <v>68</v>
      </c>
      <c r="E768" s="39" t="s">
        <v>429</v>
      </c>
      <c r="F768" s="1">
        <v>1159</v>
      </c>
      <c r="G768" t="s">
        <v>14</v>
      </c>
      <c r="H768" s="1">
        <v>47</v>
      </c>
      <c r="I768" s="40">
        <v>1150</v>
      </c>
      <c r="J768" t="s">
        <v>15</v>
      </c>
      <c r="K768" s="41">
        <v>33057.89</v>
      </c>
    </row>
    <row r="769" spans="1:11" x14ac:dyDescent="0.2">
      <c r="A769" s="43">
        <v>46143</v>
      </c>
      <c r="B769" t="s">
        <v>66</v>
      </c>
      <c r="C769" s="1">
        <v>38001011003</v>
      </c>
      <c r="D769" t="s">
        <v>68</v>
      </c>
      <c r="E769" s="39" t="s">
        <v>430</v>
      </c>
      <c r="F769" s="1">
        <v>1159</v>
      </c>
      <c r="G769" t="s">
        <v>14</v>
      </c>
      <c r="H769" s="1">
        <v>47</v>
      </c>
      <c r="I769" s="40">
        <v>1150</v>
      </c>
      <c r="J769" t="s">
        <v>15</v>
      </c>
      <c r="K769" s="41">
        <v>63997.79</v>
      </c>
    </row>
    <row r="770" spans="1:11" x14ac:dyDescent="0.2">
      <c r="A770" s="43">
        <v>46143</v>
      </c>
      <c r="B770" t="s">
        <v>66</v>
      </c>
      <c r="C770" s="1">
        <v>38001011003</v>
      </c>
      <c r="D770" t="s">
        <v>68</v>
      </c>
      <c r="E770" s="39" t="s">
        <v>431</v>
      </c>
      <c r="F770" s="1">
        <v>1159</v>
      </c>
      <c r="G770" t="s">
        <v>14</v>
      </c>
      <c r="H770" s="1">
        <v>47</v>
      </c>
      <c r="I770" s="40">
        <v>1150</v>
      </c>
      <c r="J770" t="s">
        <v>15</v>
      </c>
      <c r="K770" s="41">
        <v>1247.3800000000001</v>
      </c>
    </row>
    <row r="771" spans="1:11" x14ac:dyDescent="0.2">
      <c r="A771" s="43">
        <v>46143</v>
      </c>
      <c r="B771" t="s">
        <v>66</v>
      </c>
      <c r="C771" s="1">
        <v>38001011003</v>
      </c>
      <c r="D771" t="s">
        <v>68</v>
      </c>
      <c r="E771" s="39" t="s">
        <v>432</v>
      </c>
      <c r="F771" s="1">
        <v>1159</v>
      </c>
      <c r="G771" t="s">
        <v>14</v>
      </c>
      <c r="H771" s="1">
        <v>47</v>
      </c>
      <c r="I771" s="40">
        <v>1150</v>
      </c>
      <c r="J771" t="s">
        <v>15</v>
      </c>
      <c r="K771" s="41">
        <v>2494.77</v>
      </c>
    </row>
    <row r="772" spans="1:11" x14ac:dyDescent="0.2">
      <c r="A772" s="43">
        <v>46143</v>
      </c>
      <c r="B772" t="s">
        <v>66</v>
      </c>
      <c r="C772" s="1">
        <v>38001011003</v>
      </c>
      <c r="D772" t="s">
        <v>68</v>
      </c>
      <c r="E772" s="39" t="s">
        <v>433</v>
      </c>
      <c r="F772" s="1">
        <v>1159</v>
      </c>
      <c r="G772" t="s">
        <v>14</v>
      </c>
      <c r="H772" s="1">
        <v>47</v>
      </c>
      <c r="I772" s="40">
        <v>1150</v>
      </c>
      <c r="J772" t="s">
        <v>15</v>
      </c>
      <c r="K772" s="41">
        <v>3742.15</v>
      </c>
    </row>
    <row r="773" spans="1:11" x14ac:dyDescent="0.2">
      <c r="A773" s="43">
        <v>46143</v>
      </c>
      <c r="B773" t="s">
        <v>46</v>
      </c>
      <c r="C773" s="1">
        <v>38001002001</v>
      </c>
      <c r="D773" t="s">
        <v>48</v>
      </c>
      <c r="E773" s="39" t="s">
        <v>434</v>
      </c>
      <c r="F773" s="1">
        <v>1159</v>
      </c>
      <c r="G773" t="s">
        <v>14</v>
      </c>
      <c r="H773" s="1">
        <v>47</v>
      </c>
      <c r="I773" s="40">
        <v>1160</v>
      </c>
      <c r="J773" t="s">
        <v>13</v>
      </c>
      <c r="K773" s="41">
        <v>34</v>
      </c>
    </row>
    <row r="774" spans="1:11" x14ac:dyDescent="0.2">
      <c r="A774" s="43">
        <v>46143</v>
      </c>
      <c r="B774" t="s">
        <v>50</v>
      </c>
      <c r="C774" s="1">
        <v>38001008004</v>
      </c>
      <c r="D774" t="s">
        <v>49</v>
      </c>
      <c r="E774" s="39" t="s">
        <v>435</v>
      </c>
      <c r="F774" s="1">
        <v>1159</v>
      </c>
      <c r="G774" t="s">
        <v>14</v>
      </c>
      <c r="H774" s="1">
        <v>47</v>
      </c>
      <c r="I774" s="40">
        <v>1159</v>
      </c>
      <c r="J774" t="s">
        <v>14</v>
      </c>
      <c r="K774" s="41">
        <v>1663.2</v>
      </c>
    </row>
    <row r="775" spans="1:11" x14ac:dyDescent="0.2">
      <c r="A775" s="43">
        <v>46143</v>
      </c>
      <c r="B775" t="s">
        <v>66</v>
      </c>
      <c r="C775" s="1">
        <v>38001011004</v>
      </c>
      <c r="D775" t="s">
        <v>65</v>
      </c>
      <c r="E775" s="39" t="s">
        <v>435</v>
      </c>
      <c r="F775" s="1">
        <v>1159</v>
      </c>
      <c r="G775" t="s">
        <v>14</v>
      </c>
      <c r="H775" s="1">
        <v>47</v>
      </c>
      <c r="I775" s="40">
        <v>1159</v>
      </c>
      <c r="J775" t="s">
        <v>14</v>
      </c>
      <c r="K775" s="41">
        <v>516.84</v>
      </c>
    </row>
    <row r="776" spans="1:11" x14ac:dyDescent="0.2">
      <c r="A776" s="43">
        <v>46143</v>
      </c>
      <c r="B776" t="s">
        <v>38</v>
      </c>
      <c r="C776" s="1">
        <v>38001023002</v>
      </c>
      <c r="D776" t="s">
        <v>37</v>
      </c>
      <c r="E776" s="39" t="s">
        <v>396</v>
      </c>
      <c r="F776" s="1">
        <v>1159</v>
      </c>
      <c r="G776" t="s">
        <v>14</v>
      </c>
      <c r="H776" s="1">
        <v>47</v>
      </c>
      <c r="I776" s="40">
        <v>1150</v>
      </c>
      <c r="J776" t="s">
        <v>15</v>
      </c>
      <c r="K776" s="41">
        <v>18195.89</v>
      </c>
    </row>
    <row r="777" spans="1:11" x14ac:dyDescent="0.2">
      <c r="A777" s="43">
        <v>46143</v>
      </c>
      <c r="B777" t="s">
        <v>38</v>
      </c>
      <c r="C777" s="1">
        <v>38001023002</v>
      </c>
      <c r="D777" t="s">
        <v>37</v>
      </c>
      <c r="E777" s="39" t="s">
        <v>396</v>
      </c>
      <c r="F777" s="1">
        <v>1159</v>
      </c>
      <c r="G777" t="s">
        <v>14</v>
      </c>
      <c r="H777" s="1">
        <v>47</v>
      </c>
      <c r="I777" s="40">
        <v>1159</v>
      </c>
      <c r="J777" t="s">
        <v>14</v>
      </c>
      <c r="K777" s="41">
        <v>7294.27</v>
      </c>
    </row>
    <row r="778" spans="1:11" x14ac:dyDescent="0.2">
      <c r="A778" s="43">
        <v>46143</v>
      </c>
      <c r="B778" t="s">
        <v>38</v>
      </c>
      <c r="C778" s="1">
        <v>38001023002</v>
      </c>
      <c r="D778" t="s">
        <v>37</v>
      </c>
      <c r="E778" s="39" t="s">
        <v>396</v>
      </c>
      <c r="F778" s="1">
        <v>1159</v>
      </c>
      <c r="G778" t="s">
        <v>14</v>
      </c>
      <c r="H778" s="1">
        <v>47</v>
      </c>
      <c r="I778" s="40">
        <v>1160</v>
      </c>
      <c r="J778" t="s">
        <v>13</v>
      </c>
      <c r="K778" s="41">
        <v>7737.85</v>
      </c>
    </row>
    <row r="779" spans="1:11" x14ac:dyDescent="0.2">
      <c r="A779" s="43">
        <v>46143</v>
      </c>
      <c r="B779" t="s">
        <v>107</v>
      </c>
      <c r="C779" s="1">
        <v>38001025002</v>
      </c>
      <c r="D779" t="s">
        <v>115</v>
      </c>
      <c r="E779" s="39" t="s">
        <v>351</v>
      </c>
      <c r="F779" s="1">
        <v>1159</v>
      </c>
      <c r="G779" t="s">
        <v>14</v>
      </c>
      <c r="H779" s="1">
        <v>47</v>
      </c>
      <c r="I779" s="40">
        <v>1150</v>
      </c>
      <c r="J779" t="s">
        <v>15</v>
      </c>
      <c r="K779" s="41">
        <v>5048.75</v>
      </c>
    </row>
    <row r="780" spans="1:11" x14ac:dyDescent="0.2">
      <c r="A780" s="43">
        <v>46143</v>
      </c>
      <c r="B780" t="s">
        <v>107</v>
      </c>
      <c r="C780" s="1">
        <v>38001025002</v>
      </c>
      <c r="D780" t="s">
        <v>115</v>
      </c>
      <c r="E780" s="39" t="s">
        <v>351</v>
      </c>
      <c r="F780" s="1">
        <v>1159</v>
      </c>
      <c r="G780" t="s">
        <v>14</v>
      </c>
      <c r="H780" s="1">
        <v>47</v>
      </c>
      <c r="I780" s="40">
        <v>1159</v>
      </c>
      <c r="J780" t="s">
        <v>14</v>
      </c>
      <c r="K780" s="41">
        <v>5414.3</v>
      </c>
    </row>
    <row r="781" spans="1:11" x14ac:dyDescent="0.2">
      <c r="A781" s="43">
        <v>46143</v>
      </c>
      <c r="B781" t="s">
        <v>107</v>
      </c>
      <c r="C781" s="1">
        <v>38001025002</v>
      </c>
      <c r="D781" t="s">
        <v>115</v>
      </c>
      <c r="E781" s="39" t="s">
        <v>351</v>
      </c>
      <c r="F781" s="1">
        <v>1159</v>
      </c>
      <c r="G781" t="s">
        <v>14</v>
      </c>
      <c r="H781" s="1">
        <v>47</v>
      </c>
      <c r="I781" s="40">
        <v>1160</v>
      </c>
      <c r="J781" t="s">
        <v>13</v>
      </c>
      <c r="K781" s="41">
        <v>5045.59</v>
      </c>
    </row>
    <row r="782" spans="1:11" x14ac:dyDescent="0.2">
      <c r="A782" s="43">
        <v>46143</v>
      </c>
      <c r="B782" t="s">
        <v>11</v>
      </c>
      <c r="C782" s="1">
        <v>38001004001</v>
      </c>
      <c r="D782" t="s">
        <v>11</v>
      </c>
      <c r="E782" s="39" t="s">
        <v>436</v>
      </c>
      <c r="F782" s="1">
        <v>1159</v>
      </c>
      <c r="G782" t="s">
        <v>14</v>
      </c>
      <c r="H782" s="1">
        <v>47</v>
      </c>
      <c r="I782" s="40">
        <v>1150</v>
      </c>
      <c r="J782" t="s">
        <v>15</v>
      </c>
      <c r="K782" s="41">
        <v>14907.25</v>
      </c>
    </row>
    <row r="783" spans="1:11" x14ac:dyDescent="0.2">
      <c r="A783" s="43">
        <v>46143</v>
      </c>
      <c r="B783" t="s">
        <v>11</v>
      </c>
      <c r="C783" s="1">
        <v>38001004001</v>
      </c>
      <c r="D783" t="s">
        <v>11</v>
      </c>
      <c r="E783" s="39" t="s">
        <v>437</v>
      </c>
      <c r="F783" s="1">
        <v>1159</v>
      </c>
      <c r="G783" t="s">
        <v>14</v>
      </c>
      <c r="H783" s="1">
        <v>47</v>
      </c>
      <c r="I783" s="40">
        <v>1159</v>
      </c>
      <c r="J783" t="s">
        <v>14</v>
      </c>
      <c r="K783" s="41">
        <v>38703.93</v>
      </c>
    </row>
    <row r="784" spans="1:11" x14ac:dyDescent="0.2">
      <c r="A784" s="43">
        <v>46143</v>
      </c>
      <c r="B784" t="s">
        <v>11</v>
      </c>
      <c r="C784" s="1">
        <v>38001004001</v>
      </c>
      <c r="D784" t="s">
        <v>11</v>
      </c>
      <c r="E784" s="39" t="s">
        <v>438</v>
      </c>
      <c r="F784" s="1">
        <v>1159</v>
      </c>
      <c r="G784" t="s">
        <v>14</v>
      </c>
      <c r="H784" s="1">
        <v>47</v>
      </c>
      <c r="I784" s="40">
        <v>1160</v>
      </c>
      <c r="J784" t="s">
        <v>13</v>
      </c>
      <c r="K784" s="41">
        <v>14404.93</v>
      </c>
    </row>
    <row r="785" spans="1:11" x14ac:dyDescent="0.2">
      <c r="A785" s="43">
        <v>46143</v>
      </c>
      <c r="B785" t="s">
        <v>38</v>
      </c>
      <c r="C785" s="1">
        <v>38001023002</v>
      </c>
      <c r="D785" t="s">
        <v>37</v>
      </c>
      <c r="E785" s="39" t="s">
        <v>376</v>
      </c>
      <c r="F785" s="1">
        <v>1159</v>
      </c>
      <c r="G785" t="s">
        <v>14</v>
      </c>
      <c r="H785" s="1">
        <v>47</v>
      </c>
      <c r="I785" s="40">
        <v>1150</v>
      </c>
      <c r="J785" t="s">
        <v>15</v>
      </c>
      <c r="K785" s="41">
        <v>-37047.21</v>
      </c>
    </row>
    <row r="786" spans="1:11" x14ac:dyDescent="0.2">
      <c r="A786" s="43">
        <v>46143</v>
      </c>
      <c r="B786" t="s">
        <v>38</v>
      </c>
      <c r="C786" s="1">
        <v>38001023002</v>
      </c>
      <c r="D786" t="s">
        <v>37</v>
      </c>
      <c r="E786" s="39" t="s">
        <v>376</v>
      </c>
      <c r="F786" s="1">
        <v>1159</v>
      </c>
      <c r="G786" t="s">
        <v>14</v>
      </c>
      <c r="H786" s="1">
        <v>47</v>
      </c>
      <c r="I786" s="40">
        <v>1159</v>
      </c>
      <c r="J786" t="s">
        <v>14</v>
      </c>
      <c r="K786" s="41">
        <v>-18173.39</v>
      </c>
    </row>
    <row r="787" spans="1:11" x14ac:dyDescent="0.2">
      <c r="A787" s="43">
        <v>46143</v>
      </c>
      <c r="B787" t="s">
        <v>38</v>
      </c>
      <c r="C787" s="1">
        <v>38001023002</v>
      </c>
      <c r="D787" t="s">
        <v>37</v>
      </c>
      <c r="E787" s="39" t="s">
        <v>376</v>
      </c>
      <c r="F787" s="1">
        <v>1159</v>
      </c>
      <c r="G787" t="s">
        <v>14</v>
      </c>
      <c r="H787" s="1">
        <v>47</v>
      </c>
      <c r="I787" s="40">
        <v>1160</v>
      </c>
      <c r="J787" t="s">
        <v>13</v>
      </c>
      <c r="K787" s="41">
        <v>-17512.93</v>
      </c>
    </row>
    <row r="788" spans="1:11" x14ac:dyDescent="0.2">
      <c r="A788" s="43">
        <v>46143</v>
      </c>
      <c r="B788" t="s">
        <v>35</v>
      </c>
      <c r="C788" s="1">
        <v>38001013002</v>
      </c>
      <c r="D788" t="s">
        <v>34</v>
      </c>
      <c r="E788" s="39" t="s">
        <v>379</v>
      </c>
      <c r="F788" s="1">
        <v>1159</v>
      </c>
      <c r="G788" t="s">
        <v>14</v>
      </c>
      <c r="H788" s="1">
        <v>47</v>
      </c>
      <c r="I788" s="40">
        <v>1150</v>
      </c>
      <c r="J788" t="s">
        <v>15</v>
      </c>
      <c r="K788" s="41">
        <v>-425.1</v>
      </c>
    </row>
    <row r="789" spans="1:11" x14ac:dyDescent="0.2">
      <c r="A789" s="43">
        <v>46143</v>
      </c>
      <c r="B789" t="s">
        <v>35</v>
      </c>
      <c r="C789" s="1">
        <v>38001013002</v>
      </c>
      <c r="D789" t="s">
        <v>34</v>
      </c>
      <c r="E789" s="39" t="s">
        <v>387</v>
      </c>
      <c r="F789" s="1">
        <v>1159</v>
      </c>
      <c r="G789" t="s">
        <v>14</v>
      </c>
      <c r="H789" s="1">
        <v>47</v>
      </c>
      <c r="I789" s="40">
        <v>1150</v>
      </c>
      <c r="J789" t="s">
        <v>15</v>
      </c>
      <c r="K789" s="41">
        <v>-400</v>
      </c>
    </row>
    <row r="790" spans="1:11" x14ac:dyDescent="0.2">
      <c r="A790" s="43">
        <v>46143</v>
      </c>
      <c r="B790" t="s">
        <v>35</v>
      </c>
      <c r="C790" s="1">
        <v>38001013002</v>
      </c>
      <c r="D790" t="s">
        <v>34</v>
      </c>
      <c r="E790" s="39" t="s">
        <v>383</v>
      </c>
      <c r="F790" s="1">
        <v>1159</v>
      </c>
      <c r="G790" t="s">
        <v>14</v>
      </c>
      <c r="H790" s="1">
        <v>47</v>
      </c>
      <c r="I790" s="40">
        <v>1150</v>
      </c>
      <c r="J790" t="s">
        <v>15</v>
      </c>
      <c r="K790" s="41">
        <v>-647.4</v>
      </c>
    </row>
    <row r="791" spans="1:11" x14ac:dyDescent="0.2">
      <c r="A791" s="43">
        <v>46143</v>
      </c>
      <c r="B791" t="s">
        <v>35</v>
      </c>
      <c r="C791" s="1">
        <v>38001013002</v>
      </c>
      <c r="D791" t="s">
        <v>34</v>
      </c>
      <c r="E791" s="39" t="s">
        <v>384</v>
      </c>
      <c r="F791" s="1">
        <v>1159</v>
      </c>
      <c r="G791" t="s">
        <v>14</v>
      </c>
      <c r="H791" s="1">
        <v>47</v>
      </c>
      <c r="I791" s="40">
        <v>1159</v>
      </c>
      <c r="J791" t="s">
        <v>14</v>
      </c>
      <c r="K791" s="41">
        <v>-647.4</v>
      </c>
    </row>
    <row r="792" spans="1:11" x14ac:dyDescent="0.2">
      <c r="A792" s="43">
        <v>46143</v>
      </c>
      <c r="B792" t="s">
        <v>35</v>
      </c>
      <c r="C792" s="1">
        <v>38001013002</v>
      </c>
      <c r="D792" t="s">
        <v>34</v>
      </c>
      <c r="E792" s="39" t="s">
        <v>385</v>
      </c>
      <c r="F792" s="1">
        <v>1159</v>
      </c>
      <c r="G792" t="s">
        <v>14</v>
      </c>
      <c r="H792" s="1">
        <v>47</v>
      </c>
      <c r="I792" s="40">
        <v>1160</v>
      </c>
      <c r="J792" t="s">
        <v>13</v>
      </c>
      <c r="K792" s="41">
        <v>-431.6</v>
      </c>
    </row>
    <row r="793" spans="1:11" x14ac:dyDescent="0.2">
      <c r="A793" s="43">
        <v>46143</v>
      </c>
      <c r="B793" t="s">
        <v>35</v>
      </c>
      <c r="C793" s="1">
        <v>38001013002</v>
      </c>
      <c r="D793" t="s">
        <v>34</v>
      </c>
      <c r="E793" s="39" t="s">
        <v>386</v>
      </c>
      <c r="F793" s="1">
        <v>1159</v>
      </c>
      <c r="G793" t="s">
        <v>14</v>
      </c>
      <c r="H793" s="1">
        <v>47</v>
      </c>
      <c r="I793" s="40">
        <v>1160</v>
      </c>
      <c r="J793" t="s">
        <v>13</v>
      </c>
      <c r="K793" s="41">
        <v>-655.16</v>
      </c>
    </row>
    <row r="794" spans="1:11" x14ac:dyDescent="0.2">
      <c r="A794" s="43">
        <v>46143</v>
      </c>
      <c r="B794" t="s">
        <v>38</v>
      </c>
      <c r="C794" s="1">
        <v>38001023002</v>
      </c>
      <c r="D794" t="s">
        <v>37</v>
      </c>
      <c r="E794" s="39" t="s">
        <v>376</v>
      </c>
      <c r="F794" s="1">
        <v>1159</v>
      </c>
      <c r="G794" t="s">
        <v>14</v>
      </c>
      <c r="H794" s="1">
        <v>47</v>
      </c>
      <c r="I794" s="40">
        <v>1150</v>
      </c>
      <c r="J794" t="s">
        <v>15</v>
      </c>
      <c r="K794" s="41">
        <v>37047.21</v>
      </c>
    </row>
    <row r="795" spans="1:11" x14ac:dyDescent="0.2">
      <c r="A795" s="43">
        <v>46143</v>
      </c>
      <c r="B795" t="s">
        <v>38</v>
      </c>
      <c r="C795" s="1">
        <v>38001023002</v>
      </c>
      <c r="D795" t="s">
        <v>37</v>
      </c>
      <c r="E795" s="39" t="s">
        <v>396</v>
      </c>
      <c r="F795" s="1">
        <v>1159</v>
      </c>
      <c r="G795" t="s">
        <v>14</v>
      </c>
      <c r="H795" s="1">
        <v>47</v>
      </c>
      <c r="I795" s="40">
        <v>1150</v>
      </c>
      <c r="J795" t="s">
        <v>15</v>
      </c>
      <c r="K795" s="41">
        <v>-18195.89</v>
      </c>
    </row>
    <row r="796" spans="1:11" x14ac:dyDescent="0.2">
      <c r="A796" s="43">
        <v>46143</v>
      </c>
      <c r="B796" t="s">
        <v>38</v>
      </c>
      <c r="C796" s="1">
        <v>38001023002</v>
      </c>
      <c r="D796" t="s">
        <v>37</v>
      </c>
      <c r="E796" s="39" t="s">
        <v>376</v>
      </c>
      <c r="F796" s="1">
        <v>1159</v>
      </c>
      <c r="G796" t="s">
        <v>14</v>
      </c>
      <c r="H796" s="1">
        <v>47</v>
      </c>
      <c r="I796" s="40">
        <v>1159</v>
      </c>
      <c r="J796" t="s">
        <v>14</v>
      </c>
      <c r="K796" s="41">
        <v>18173.39</v>
      </c>
    </row>
    <row r="797" spans="1:11" x14ac:dyDescent="0.2">
      <c r="A797" s="43">
        <v>46143</v>
      </c>
      <c r="B797" t="s">
        <v>38</v>
      </c>
      <c r="C797" s="1">
        <v>38001023002</v>
      </c>
      <c r="D797" t="s">
        <v>37</v>
      </c>
      <c r="E797" s="39" t="s">
        <v>396</v>
      </c>
      <c r="F797" s="1">
        <v>1159</v>
      </c>
      <c r="G797" t="s">
        <v>14</v>
      </c>
      <c r="H797" s="1">
        <v>47</v>
      </c>
      <c r="I797" s="40">
        <v>1159</v>
      </c>
      <c r="J797" t="s">
        <v>14</v>
      </c>
      <c r="K797" s="41">
        <v>-7294.27</v>
      </c>
    </row>
    <row r="798" spans="1:11" x14ac:dyDescent="0.2">
      <c r="A798" s="43">
        <v>46143</v>
      </c>
      <c r="B798" t="s">
        <v>38</v>
      </c>
      <c r="C798" s="1">
        <v>38001023002</v>
      </c>
      <c r="D798" t="s">
        <v>37</v>
      </c>
      <c r="E798" s="39" t="s">
        <v>376</v>
      </c>
      <c r="F798" s="1">
        <v>1159</v>
      </c>
      <c r="G798" t="s">
        <v>14</v>
      </c>
      <c r="H798" s="1">
        <v>47</v>
      </c>
      <c r="I798" s="40">
        <v>1160</v>
      </c>
      <c r="J798" t="s">
        <v>13</v>
      </c>
      <c r="K798" s="41">
        <v>17512.93</v>
      </c>
    </row>
    <row r="799" spans="1:11" x14ac:dyDescent="0.2">
      <c r="A799" s="43">
        <v>46143</v>
      </c>
      <c r="B799" t="s">
        <v>38</v>
      </c>
      <c r="C799" s="1">
        <v>38001023002</v>
      </c>
      <c r="D799" t="s">
        <v>37</v>
      </c>
      <c r="E799" s="39" t="s">
        <v>396</v>
      </c>
      <c r="F799" s="1">
        <v>1159</v>
      </c>
      <c r="G799" t="s">
        <v>14</v>
      </c>
      <c r="H799" s="1">
        <v>47</v>
      </c>
      <c r="I799" s="40">
        <v>1160</v>
      </c>
      <c r="J799" t="s">
        <v>13</v>
      </c>
      <c r="K799" s="41">
        <v>-7737.85</v>
      </c>
    </row>
    <row r="800" spans="1:11" x14ac:dyDescent="0.2">
      <c r="A800" s="43">
        <v>46143</v>
      </c>
      <c r="B800" t="s">
        <v>35</v>
      </c>
      <c r="C800" s="1">
        <v>38001013002</v>
      </c>
      <c r="D800" t="s">
        <v>34</v>
      </c>
      <c r="E800" s="39" t="s">
        <v>380</v>
      </c>
      <c r="F800" s="1">
        <v>1159</v>
      </c>
      <c r="G800" t="s">
        <v>14</v>
      </c>
      <c r="H800" s="1">
        <v>47</v>
      </c>
      <c r="I800" s="40">
        <v>1150</v>
      </c>
      <c r="J800" t="s">
        <v>15</v>
      </c>
      <c r="K800" s="41">
        <v>-194.72</v>
      </c>
    </row>
    <row r="801" spans="1:11" x14ac:dyDescent="0.2">
      <c r="A801" s="43">
        <v>46143</v>
      </c>
      <c r="B801" t="s">
        <v>35</v>
      </c>
      <c r="C801" s="1">
        <v>38001013002</v>
      </c>
      <c r="D801" t="s">
        <v>34</v>
      </c>
      <c r="E801" s="39" t="s">
        <v>381</v>
      </c>
      <c r="F801" s="1">
        <v>1159</v>
      </c>
      <c r="G801" t="s">
        <v>14</v>
      </c>
      <c r="H801" s="1">
        <v>47</v>
      </c>
      <c r="I801" s="40">
        <v>1159</v>
      </c>
      <c r="J801" t="s">
        <v>14</v>
      </c>
      <c r="K801" s="41">
        <v>-48.68</v>
      </c>
    </row>
    <row r="802" spans="1:11" x14ac:dyDescent="0.2">
      <c r="A802" s="43">
        <v>46143</v>
      </c>
      <c r="B802" t="s">
        <v>35</v>
      </c>
      <c r="C802" s="1">
        <v>38001013002</v>
      </c>
      <c r="D802" t="s">
        <v>34</v>
      </c>
      <c r="E802" s="39" t="s">
        <v>382</v>
      </c>
      <c r="F802" s="1">
        <v>1159</v>
      </c>
      <c r="G802" t="s">
        <v>14</v>
      </c>
      <c r="H802" s="1">
        <v>47</v>
      </c>
      <c r="I802" s="40">
        <v>1160</v>
      </c>
      <c r="J802" t="s">
        <v>13</v>
      </c>
      <c r="K802" s="41">
        <v>-48.68</v>
      </c>
    </row>
    <row r="803" spans="1:11" x14ac:dyDescent="0.2">
      <c r="A803" s="43">
        <v>46143</v>
      </c>
      <c r="B803" t="s">
        <v>38</v>
      </c>
      <c r="C803" s="1">
        <v>38001023001</v>
      </c>
      <c r="D803" t="s">
        <v>38</v>
      </c>
      <c r="E803" s="39" t="s">
        <v>439</v>
      </c>
      <c r="F803" s="1">
        <v>1159</v>
      </c>
      <c r="G803" t="s">
        <v>14</v>
      </c>
      <c r="H803" s="1">
        <v>47</v>
      </c>
      <c r="I803" s="40">
        <v>1150</v>
      </c>
      <c r="J803" t="s">
        <v>15</v>
      </c>
      <c r="K803" s="41">
        <v>7664.94</v>
      </c>
    </row>
    <row r="804" spans="1:11" x14ac:dyDescent="0.2">
      <c r="A804" s="43">
        <v>46143</v>
      </c>
      <c r="B804" t="s">
        <v>38</v>
      </c>
      <c r="C804" s="1">
        <v>38001023001</v>
      </c>
      <c r="D804" t="s">
        <v>38</v>
      </c>
      <c r="E804" s="39" t="s">
        <v>439</v>
      </c>
      <c r="F804" s="1">
        <v>1159</v>
      </c>
      <c r="G804" t="s">
        <v>14</v>
      </c>
      <c r="H804" s="1">
        <v>47</v>
      </c>
      <c r="I804" s="40">
        <v>1159</v>
      </c>
      <c r="J804" t="s">
        <v>14</v>
      </c>
      <c r="K804" s="41">
        <v>7219.05</v>
      </c>
    </row>
    <row r="805" spans="1:11" x14ac:dyDescent="0.2">
      <c r="A805" s="43">
        <v>46143</v>
      </c>
      <c r="B805" t="s">
        <v>38</v>
      </c>
      <c r="C805" s="1">
        <v>38001023001</v>
      </c>
      <c r="D805" t="s">
        <v>38</v>
      </c>
      <c r="E805" s="39" t="s">
        <v>439</v>
      </c>
      <c r="F805" s="1">
        <v>1159</v>
      </c>
      <c r="G805" t="s">
        <v>14</v>
      </c>
      <c r="H805" s="1">
        <v>47</v>
      </c>
      <c r="I805" s="40">
        <v>1160</v>
      </c>
      <c r="J805" t="s">
        <v>13</v>
      </c>
      <c r="K805" s="41">
        <v>6727.44</v>
      </c>
    </row>
    <row r="806" spans="1:11" x14ac:dyDescent="0.2">
      <c r="A806" s="43">
        <v>46143</v>
      </c>
      <c r="B806" t="s">
        <v>66</v>
      </c>
      <c r="C806">
        <v>38001011004</v>
      </c>
      <c r="D806" t="s">
        <v>65</v>
      </c>
      <c r="E806" t="s">
        <v>440</v>
      </c>
      <c r="F806">
        <v>1159</v>
      </c>
      <c r="G806" t="s">
        <v>14</v>
      </c>
      <c r="H806">
        <v>47</v>
      </c>
      <c r="I806" s="42">
        <v>1150</v>
      </c>
      <c r="J806" t="s">
        <v>15</v>
      </c>
      <c r="K806">
        <v>12.32</v>
      </c>
    </row>
    <row r="807" spans="1:11" x14ac:dyDescent="0.2">
      <c r="A807" s="43">
        <v>46143</v>
      </c>
      <c r="B807" t="s">
        <v>72</v>
      </c>
      <c r="C807">
        <v>38001022001</v>
      </c>
      <c r="D807" t="s">
        <v>74</v>
      </c>
      <c r="E807" t="s">
        <v>332</v>
      </c>
      <c r="F807" s="1">
        <v>1000</v>
      </c>
      <c r="G807" t="s">
        <v>70</v>
      </c>
      <c r="H807" s="1">
        <v>51</v>
      </c>
      <c r="I807" s="42">
        <v>1003</v>
      </c>
      <c r="J807" t="s">
        <v>72</v>
      </c>
      <c r="K807" s="2">
        <v>24891.360000000001</v>
      </c>
    </row>
    <row r="808" spans="1:11" x14ac:dyDescent="0.2">
      <c r="A808" s="43">
        <v>46143</v>
      </c>
      <c r="B808" t="s">
        <v>72</v>
      </c>
      <c r="C808">
        <v>38001022002</v>
      </c>
      <c r="D808" t="s">
        <v>71</v>
      </c>
      <c r="E808" t="s">
        <v>332</v>
      </c>
      <c r="F808" s="1">
        <v>1000</v>
      </c>
      <c r="G808" t="s">
        <v>70</v>
      </c>
      <c r="H808" s="1">
        <v>51</v>
      </c>
      <c r="I808" s="42">
        <v>1003</v>
      </c>
      <c r="J808" t="s">
        <v>72</v>
      </c>
      <c r="K808" s="2">
        <v>13478.42</v>
      </c>
    </row>
  </sheetData>
  <autoFilter ref="A2:K2" xr:uid="{71D642D6-F47A-4ADA-A7EE-B5AED2B04BC0}"/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69CA-DADE-4867-8137-AD0143F57B79}">
  <sheetPr>
    <tabColor theme="3"/>
  </sheetPr>
  <dimension ref="A1:G131"/>
  <sheetViews>
    <sheetView showGridLines="0" zoomScale="80" zoomScaleNormal="80" workbookViewId="0">
      <selection activeCell="A17" sqref="A17"/>
    </sheetView>
  </sheetViews>
  <sheetFormatPr baseColWidth="10" defaultColWidth="8.83203125" defaultRowHeight="15" x14ac:dyDescent="0.2"/>
  <cols>
    <col min="1" max="1" width="90.33203125" customWidth="1"/>
    <col min="2" max="7" width="14" style="63" customWidth="1"/>
    <col min="8" max="8" width="12" bestFit="1" customWidth="1"/>
  </cols>
  <sheetData>
    <row r="1" spans="1:7" ht="8.25" customHeight="1" x14ac:dyDescent="0.2">
      <c r="A1" s="54"/>
      <c r="B1" s="65"/>
      <c r="C1" s="65"/>
      <c r="D1" s="65"/>
      <c r="E1" s="65"/>
      <c r="F1" s="65"/>
      <c r="G1" s="65"/>
    </row>
    <row r="2" spans="1:7" ht="24" x14ac:dyDescent="0.3">
      <c r="A2" s="100" t="s">
        <v>709</v>
      </c>
      <c r="B2" s="100"/>
      <c r="C2" s="100"/>
      <c r="D2" s="100"/>
      <c r="E2" s="100"/>
      <c r="F2" s="100"/>
      <c r="G2" s="100"/>
    </row>
    <row r="3" spans="1:7" ht="8.25" customHeight="1" x14ac:dyDescent="0.2">
      <c r="A3" s="54"/>
      <c r="B3" s="65"/>
      <c r="C3" s="65"/>
      <c r="D3" s="65"/>
      <c r="E3" s="65"/>
      <c r="F3" s="65"/>
      <c r="G3" s="65"/>
    </row>
    <row r="4" spans="1:7" x14ac:dyDescent="0.2">
      <c r="A4" s="54"/>
      <c r="B4" s="65"/>
      <c r="C4" s="65"/>
      <c r="D4" s="65"/>
      <c r="E4" s="65"/>
      <c r="F4" s="65"/>
      <c r="G4" s="65"/>
    </row>
    <row r="5" spans="1:7" x14ac:dyDescent="0.2">
      <c r="A5" s="54"/>
      <c r="B5" s="65"/>
      <c r="C5" s="65"/>
      <c r="D5" s="65"/>
      <c r="E5" s="65"/>
      <c r="F5" s="65"/>
      <c r="G5" s="65"/>
    </row>
    <row r="6" spans="1:7" x14ac:dyDescent="0.2">
      <c r="A6" s="54"/>
      <c r="B6" s="65"/>
      <c r="C6" s="65"/>
      <c r="D6" s="65"/>
      <c r="E6" s="65"/>
      <c r="F6" s="65"/>
      <c r="G6" s="65"/>
    </row>
    <row r="7" spans="1:7" x14ac:dyDescent="0.2">
      <c r="A7" s="54"/>
      <c r="B7" s="65"/>
      <c r="C7" s="65"/>
      <c r="D7" s="65"/>
      <c r="E7" s="65"/>
      <c r="F7" s="65"/>
      <c r="G7" s="65"/>
    </row>
    <row r="8" spans="1:7" x14ac:dyDescent="0.2">
      <c r="A8" s="54"/>
      <c r="B8" s="65"/>
      <c r="C8" s="65"/>
      <c r="D8" s="65"/>
      <c r="E8" s="65"/>
      <c r="F8" s="65"/>
      <c r="G8" s="65"/>
    </row>
    <row r="9" spans="1:7" x14ac:dyDescent="0.2">
      <c r="A9" s="54"/>
      <c r="B9" s="65"/>
      <c r="C9" s="65"/>
      <c r="D9" s="65"/>
      <c r="E9" s="65"/>
      <c r="F9" s="65"/>
      <c r="G9" s="65"/>
    </row>
    <row r="10" spans="1:7" x14ac:dyDescent="0.2">
      <c r="A10" s="54"/>
      <c r="B10" s="65"/>
      <c r="C10" s="65"/>
      <c r="D10" s="65"/>
      <c r="E10" s="65"/>
      <c r="F10" s="65"/>
      <c r="G10" s="65"/>
    </row>
    <row r="11" spans="1:7" x14ac:dyDescent="0.2">
      <c r="A11" s="54"/>
      <c r="B11" s="65"/>
      <c r="C11" s="65"/>
      <c r="D11" s="65"/>
      <c r="E11" s="65"/>
      <c r="F11" s="65"/>
      <c r="G11" s="65"/>
    </row>
    <row r="12" spans="1:7" x14ac:dyDescent="0.2">
      <c r="A12" s="54"/>
      <c r="B12" s="65"/>
      <c r="C12" s="65"/>
      <c r="D12" s="65"/>
      <c r="E12" s="65"/>
      <c r="F12" s="65"/>
      <c r="G12" s="65"/>
    </row>
    <row r="13" spans="1:7" x14ac:dyDescent="0.2">
      <c r="A13" s="54"/>
      <c r="B13" s="65"/>
      <c r="C13" s="65"/>
      <c r="D13" s="65"/>
      <c r="E13" s="65"/>
      <c r="F13" s="65"/>
      <c r="G13" s="65"/>
    </row>
    <row r="14" spans="1:7" x14ac:dyDescent="0.2">
      <c r="A14" s="54"/>
      <c r="B14" s="65"/>
      <c r="C14" s="65"/>
      <c r="D14" s="65"/>
      <c r="E14" s="65"/>
      <c r="F14" s="65"/>
      <c r="G14" s="65"/>
    </row>
    <row r="15" spans="1:7" x14ac:dyDescent="0.2">
      <c r="A15" s="54"/>
      <c r="B15" s="65"/>
      <c r="C15" s="65"/>
      <c r="D15" s="65"/>
      <c r="E15" s="65"/>
      <c r="F15" s="65"/>
      <c r="G15" s="65"/>
    </row>
    <row r="16" spans="1:7" x14ac:dyDescent="0.2">
      <c r="A16" s="54"/>
      <c r="B16" s="65"/>
      <c r="C16" s="65"/>
      <c r="D16" s="65"/>
      <c r="E16" s="65"/>
      <c r="F16" s="65"/>
      <c r="G16" s="65"/>
    </row>
    <row r="17" spans="1:7" x14ac:dyDescent="0.2">
      <c r="A17" s="54"/>
      <c r="B17" s="65"/>
      <c r="C17" s="65"/>
      <c r="D17" s="65"/>
      <c r="E17" s="65"/>
      <c r="F17" s="65"/>
      <c r="G17" s="65"/>
    </row>
    <row r="18" spans="1:7" x14ac:dyDescent="0.2">
      <c r="A18" s="54"/>
      <c r="B18" s="65"/>
      <c r="C18" s="65"/>
      <c r="D18" s="65"/>
      <c r="E18" s="65"/>
      <c r="F18" s="65"/>
      <c r="G18" s="65"/>
    </row>
    <row r="19" spans="1:7" x14ac:dyDescent="0.2">
      <c r="A19" s="54"/>
      <c r="B19" s="65"/>
      <c r="C19" s="65"/>
      <c r="D19" s="65"/>
      <c r="E19" s="65"/>
      <c r="F19" s="65"/>
      <c r="G19" s="65"/>
    </row>
    <row r="20" spans="1:7" x14ac:dyDescent="0.2">
      <c r="A20" s="79" t="s">
        <v>694</v>
      </c>
      <c r="B20" s="62" t="s">
        <v>704</v>
      </c>
    </row>
    <row r="21" spans="1:7" x14ac:dyDescent="0.2">
      <c r="A21" s="80"/>
      <c r="B21" s="63" t="s">
        <v>680</v>
      </c>
      <c r="C21" s="63" t="s">
        <v>681</v>
      </c>
      <c r="D21" s="63" t="s">
        <v>682</v>
      </c>
      <c r="E21" s="63" t="s">
        <v>683</v>
      </c>
      <c r="F21" s="63" t="s">
        <v>684</v>
      </c>
      <c r="G21" s="63" t="s">
        <v>467</v>
      </c>
    </row>
    <row r="22" spans="1:7" x14ac:dyDescent="0.2">
      <c r="A22" s="52" t="s">
        <v>468</v>
      </c>
      <c r="B22"/>
      <c r="C22"/>
      <c r="D22"/>
      <c r="E22"/>
      <c r="F22"/>
    </row>
    <row r="23" spans="1:7" x14ac:dyDescent="0.2">
      <c r="A23" s="42" t="s">
        <v>14</v>
      </c>
      <c r="B23" s="81"/>
      <c r="C23" s="81"/>
      <c r="D23" s="81"/>
      <c r="E23" s="81"/>
      <c r="F23" s="81"/>
      <c r="G23" s="81"/>
    </row>
    <row r="24" spans="1:7" x14ac:dyDescent="0.2">
      <c r="A24" s="90" t="s">
        <v>14</v>
      </c>
      <c r="B24" s="81">
        <v>113385.65328588799</v>
      </c>
      <c r="C24" s="81">
        <v>112876.795535888</v>
      </c>
      <c r="D24" s="81">
        <v>113669.23841088801</v>
      </c>
      <c r="E24" s="81">
        <v>149963.72691088798</v>
      </c>
      <c r="F24" s="81">
        <v>148115.16274711196</v>
      </c>
      <c r="G24" s="81">
        <v>638010.57689066394</v>
      </c>
    </row>
    <row r="25" spans="1:7" x14ac:dyDescent="0.2">
      <c r="A25" s="90" t="s">
        <v>15</v>
      </c>
      <c r="B25" s="81">
        <v>465079.47815831576</v>
      </c>
      <c r="C25" s="81">
        <v>473854.42253331584</v>
      </c>
      <c r="D25" s="81">
        <v>494579.47815831576</v>
      </c>
      <c r="E25" s="81">
        <v>432701.14156942698</v>
      </c>
      <c r="F25" s="81">
        <v>471360.00944520941</v>
      </c>
      <c r="G25" s="81">
        <v>2337574.5298645836</v>
      </c>
    </row>
    <row r="26" spans="1:7" x14ac:dyDescent="0.2">
      <c r="A26" s="90" t="s">
        <v>13</v>
      </c>
      <c r="B26" s="81">
        <v>167614.41798311201</v>
      </c>
      <c r="C26" s="81">
        <v>178031.86922311204</v>
      </c>
      <c r="D26" s="81">
        <v>182932.86126311199</v>
      </c>
      <c r="E26" s="81">
        <v>203883.75211496383</v>
      </c>
      <c r="F26" s="81">
        <v>203320.34544124978</v>
      </c>
      <c r="G26" s="81">
        <v>935783.24602554971</v>
      </c>
    </row>
    <row r="27" spans="1:7" x14ac:dyDescent="0.2">
      <c r="A27" s="42" t="s">
        <v>70</v>
      </c>
      <c r="B27" s="81">
        <v>25600</v>
      </c>
      <c r="C27" s="81">
        <v>25600</v>
      </c>
      <c r="D27" s="81">
        <v>25600</v>
      </c>
      <c r="E27" s="81">
        <v>30600</v>
      </c>
      <c r="F27" s="81">
        <v>25600</v>
      </c>
      <c r="G27" s="81">
        <v>133000</v>
      </c>
    </row>
    <row r="28" spans="1:7" x14ac:dyDescent="0.2">
      <c r="A28" s="42" t="s">
        <v>467</v>
      </c>
      <c r="B28" s="81">
        <v>771679.54942731583</v>
      </c>
      <c r="C28" s="81">
        <v>790363.0872923159</v>
      </c>
      <c r="D28" s="81">
        <v>816781.57783231582</v>
      </c>
      <c r="E28" s="81">
        <v>817148.6205952788</v>
      </c>
      <c r="F28" s="81">
        <v>848395.51763357117</v>
      </c>
      <c r="G28" s="81">
        <v>4044368.3527807971</v>
      </c>
    </row>
    <row r="29" spans="1:7" x14ac:dyDescent="0.2">
      <c r="B29"/>
      <c r="C29"/>
      <c r="D29"/>
      <c r="E29"/>
      <c r="F29"/>
      <c r="G29"/>
    </row>
    <row r="30" spans="1:7" x14ac:dyDescent="0.2">
      <c r="B30"/>
      <c r="C30"/>
      <c r="D30"/>
      <c r="E30"/>
      <c r="F30"/>
      <c r="G30"/>
    </row>
    <row r="31" spans="1:7" x14ac:dyDescent="0.2">
      <c r="B31"/>
      <c r="C31"/>
      <c r="D31"/>
      <c r="E31"/>
      <c r="F31"/>
      <c r="G31"/>
    </row>
    <row r="32" spans="1:7" x14ac:dyDescent="0.2">
      <c r="B32"/>
      <c r="C32"/>
      <c r="D32"/>
      <c r="E32"/>
      <c r="F32"/>
      <c r="G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</sheetData>
  <mergeCells count="1">
    <mergeCell ref="A2:G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4E9B-7C54-4F9C-8F0B-0429E92A200A}">
  <sheetPr>
    <tabColor theme="3"/>
    <outlinePr summaryRight="0"/>
  </sheetPr>
  <dimension ref="A1:M480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3" sqref="I23"/>
    </sheetView>
  </sheetViews>
  <sheetFormatPr baseColWidth="10" defaultColWidth="8.83203125" defaultRowHeight="14" x14ac:dyDescent="0.2"/>
  <cols>
    <col min="1" max="1" width="2.6640625" style="1" customWidth="1"/>
    <col min="2" max="2" width="0.83203125" style="1" customWidth="1"/>
    <col min="3" max="3" width="15" style="21" bestFit="1" customWidth="1"/>
    <col min="4" max="4" width="38.83203125" style="21" bestFit="1" customWidth="1"/>
    <col min="5" max="5" width="12.33203125" style="21" bestFit="1" customWidth="1"/>
    <col min="6" max="6" width="44.5" style="21" bestFit="1" customWidth="1"/>
    <col min="7" max="7" width="15.1640625" style="21" bestFit="1" customWidth="1"/>
    <col min="8" max="8" width="47.33203125" style="21" bestFit="1" customWidth="1"/>
    <col min="9" max="9" width="78.5" style="1" bestFit="1" customWidth="1"/>
    <col min="10" max="10" width="7.33203125" style="1" bestFit="1" customWidth="1"/>
    <col min="11" max="11" width="16" style="1" bestFit="1" customWidth="1"/>
    <col min="12" max="12" width="1" style="1" customWidth="1"/>
    <col min="13" max="13" width="2.6640625" style="1" customWidth="1"/>
    <col min="14" max="14" width="7.33203125" style="1" bestFit="1" customWidth="1"/>
    <col min="15" max="23" width="7.5" style="1" bestFit="1" customWidth="1"/>
    <col min="24" max="16384" width="8.83203125" style="1"/>
  </cols>
  <sheetData>
    <row r="1" spans="1:13" ht="34.25" customHeight="1" thickBot="1" x14ac:dyDescent="0.25">
      <c r="A1" s="8"/>
      <c r="B1" s="8"/>
      <c r="C1" s="35"/>
      <c r="D1" s="35"/>
      <c r="E1" s="35"/>
      <c r="F1" s="35"/>
      <c r="G1" s="35"/>
      <c r="H1" s="32"/>
      <c r="I1" s="34"/>
      <c r="J1" s="34"/>
      <c r="K1" s="32"/>
      <c r="L1" s="8"/>
      <c r="M1" s="36"/>
    </row>
    <row r="2" spans="1:13" ht="10.25" customHeight="1" thickTop="1" x14ac:dyDescent="0.2">
      <c r="A2" s="8"/>
      <c r="B2" s="8"/>
      <c r="C2" s="30"/>
      <c r="D2" s="26"/>
      <c r="E2" s="8"/>
      <c r="F2" s="29"/>
      <c r="G2" s="29"/>
      <c r="H2" s="27"/>
      <c r="I2" s="28"/>
      <c r="J2" s="28"/>
      <c r="K2" s="27"/>
      <c r="L2" s="8"/>
      <c r="M2" s="36"/>
    </row>
    <row r="3" spans="1:13" s="71" customFormat="1" ht="18.75" customHeight="1" x14ac:dyDescent="0.2">
      <c r="A3" s="72"/>
      <c r="B3" s="73"/>
      <c r="C3" s="101" t="s">
        <v>466</v>
      </c>
      <c r="D3" s="102"/>
      <c r="E3" s="102"/>
      <c r="F3" s="102"/>
      <c r="G3" s="102"/>
      <c r="H3" s="102"/>
      <c r="I3" s="102"/>
      <c r="J3" s="103"/>
      <c r="K3" s="86">
        <f>SUBTOTAL(109,K6:K11180)</f>
        <v>4044368.3527807961</v>
      </c>
      <c r="L3" s="8"/>
      <c r="M3" s="36"/>
    </row>
    <row r="4" spans="1:13" ht="5" customHeight="1" x14ac:dyDescent="0.2">
      <c r="A4" s="8"/>
      <c r="B4" s="14"/>
      <c r="C4" s="25"/>
      <c r="E4" s="1"/>
      <c r="F4" s="24"/>
      <c r="G4" s="24"/>
      <c r="H4" s="22"/>
      <c r="I4" s="23"/>
      <c r="J4" s="23"/>
      <c r="K4" s="22"/>
      <c r="L4" s="36"/>
      <c r="M4" s="36"/>
    </row>
    <row r="5" spans="1:13" s="73" customFormat="1" ht="17.25" customHeight="1" x14ac:dyDescent="0.2">
      <c r="A5" s="83"/>
      <c r="C5" s="84" t="s">
        <v>80</v>
      </c>
      <c r="D5" s="84" t="s">
        <v>99</v>
      </c>
      <c r="E5" s="84" t="s">
        <v>706</v>
      </c>
      <c r="F5" s="84" t="s">
        <v>708</v>
      </c>
      <c r="G5" s="84" t="s">
        <v>79</v>
      </c>
      <c r="H5" s="84" t="s">
        <v>78</v>
      </c>
      <c r="I5" s="85" t="s">
        <v>705</v>
      </c>
      <c r="J5" s="84" t="s">
        <v>441</v>
      </c>
      <c r="K5" s="86" t="s">
        <v>679</v>
      </c>
      <c r="L5" s="5"/>
      <c r="M5" s="5"/>
    </row>
    <row r="6" spans="1:13" x14ac:dyDescent="0.2">
      <c r="A6" s="8"/>
      <c r="C6" s="48">
        <v>1000</v>
      </c>
      <c r="D6" s="48" t="s">
        <v>70</v>
      </c>
      <c r="E6" s="48">
        <v>1003</v>
      </c>
      <c r="F6" s="48" t="s">
        <v>72</v>
      </c>
      <c r="G6" s="48" t="s">
        <v>1</v>
      </c>
      <c r="H6" s="48" t="s">
        <v>72</v>
      </c>
      <c r="I6" s="47" t="s">
        <v>74</v>
      </c>
      <c r="J6" s="57">
        <v>46023</v>
      </c>
      <c r="K6" s="45">
        <v>20000</v>
      </c>
      <c r="L6" s="26"/>
      <c r="M6" s="5"/>
    </row>
    <row r="7" spans="1:13" x14ac:dyDescent="0.2">
      <c r="A7" s="8"/>
      <c r="C7" s="48">
        <v>1000</v>
      </c>
      <c r="D7" s="48" t="s">
        <v>70</v>
      </c>
      <c r="E7" s="48">
        <v>1003</v>
      </c>
      <c r="F7" s="48" t="s">
        <v>72</v>
      </c>
      <c r="G7" s="48" t="s">
        <v>1</v>
      </c>
      <c r="H7" s="48" t="s">
        <v>72</v>
      </c>
      <c r="I7" s="47" t="s">
        <v>73</v>
      </c>
      <c r="J7" s="57">
        <v>46023</v>
      </c>
      <c r="K7" s="45">
        <v>600</v>
      </c>
      <c r="L7" s="21"/>
      <c r="M7" s="5"/>
    </row>
    <row r="8" spans="1:13" x14ac:dyDescent="0.2">
      <c r="A8" s="8"/>
      <c r="C8" s="48">
        <v>1000</v>
      </c>
      <c r="D8" s="48" t="s">
        <v>70</v>
      </c>
      <c r="E8" s="48">
        <v>1003</v>
      </c>
      <c r="F8" s="48" t="s">
        <v>72</v>
      </c>
      <c r="G8" s="48" t="s">
        <v>1</v>
      </c>
      <c r="H8" s="48" t="s">
        <v>72</v>
      </c>
      <c r="I8" s="47" t="s">
        <v>71</v>
      </c>
      <c r="J8" s="57">
        <v>46023</v>
      </c>
      <c r="K8" s="45">
        <v>5000</v>
      </c>
      <c r="L8" s="14"/>
      <c r="M8" s="5"/>
    </row>
    <row r="9" spans="1:13" ht="16" x14ac:dyDescent="0.2">
      <c r="A9" s="8"/>
      <c r="C9" s="48">
        <v>1159</v>
      </c>
      <c r="D9" s="48" t="s">
        <v>14</v>
      </c>
      <c r="E9" s="48">
        <v>1150</v>
      </c>
      <c r="F9" s="48" t="s">
        <v>15</v>
      </c>
      <c r="G9" s="48" t="s">
        <v>1</v>
      </c>
      <c r="H9" s="48" t="s">
        <v>132</v>
      </c>
      <c r="I9" s="47" t="s">
        <v>43</v>
      </c>
      <c r="J9" s="57">
        <v>46023</v>
      </c>
      <c r="K9" s="45">
        <v>200</v>
      </c>
      <c r="L9" s="71"/>
      <c r="M9" s="5"/>
    </row>
    <row r="10" spans="1:13" x14ac:dyDescent="0.2">
      <c r="A10" s="8"/>
      <c r="C10" s="48">
        <v>1159</v>
      </c>
      <c r="D10" s="48" t="s">
        <v>14</v>
      </c>
      <c r="E10" s="48">
        <v>1150</v>
      </c>
      <c r="F10" s="48" t="s">
        <v>15</v>
      </c>
      <c r="G10" s="48" t="s">
        <v>1</v>
      </c>
      <c r="H10" s="48" t="s">
        <v>0</v>
      </c>
      <c r="I10" s="47" t="s">
        <v>51</v>
      </c>
      <c r="J10" s="57">
        <v>46023</v>
      </c>
      <c r="K10" s="45">
        <v>5000</v>
      </c>
      <c r="L10" s="9"/>
      <c r="M10" s="5"/>
    </row>
    <row r="11" spans="1:13" x14ac:dyDescent="0.2">
      <c r="A11" s="8"/>
      <c r="C11" s="48">
        <v>1159</v>
      </c>
      <c r="D11" s="48" t="s">
        <v>14</v>
      </c>
      <c r="E11" s="48">
        <v>1150</v>
      </c>
      <c r="F11" s="48" t="s">
        <v>15</v>
      </c>
      <c r="G11" s="48" t="s">
        <v>1</v>
      </c>
      <c r="H11" s="48" t="s">
        <v>0</v>
      </c>
      <c r="I11" s="47" t="s">
        <v>447</v>
      </c>
      <c r="J11" s="57">
        <v>46023</v>
      </c>
      <c r="K11" s="45">
        <v>3023.6305000000002</v>
      </c>
      <c r="M11" s="5"/>
    </row>
    <row r="12" spans="1:13" x14ac:dyDescent="0.2">
      <c r="A12" s="8"/>
      <c r="C12" s="48">
        <v>1159</v>
      </c>
      <c r="D12" s="48" t="s">
        <v>14</v>
      </c>
      <c r="E12" s="48">
        <v>1150</v>
      </c>
      <c r="F12" s="48" t="s">
        <v>15</v>
      </c>
      <c r="G12" s="48" t="s">
        <v>1</v>
      </c>
      <c r="H12" s="48" t="s">
        <v>66</v>
      </c>
      <c r="I12" s="47" t="s">
        <v>67</v>
      </c>
      <c r="J12" s="57">
        <v>46023</v>
      </c>
      <c r="K12" s="45">
        <v>140000</v>
      </c>
      <c r="M12" s="5"/>
    </row>
    <row r="13" spans="1:13" x14ac:dyDescent="0.2">
      <c r="A13" s="8"/>
      <c r="C13" s="48">
        <v>1159</v>
      </c>
      <c r="D13" s="48" t="s">
        <v>14</v>
      </c>
      <c r="E13" s="48">
        <v>1150</v>
      </c>
      <c r="F13" s="48" t="s">
        <v>15</v>
      </c>
      <c r="G13" s="48" t="s">
        <v>1</v>
      </c>
      <c r="H13" s="48" t="s">
        <v>66</v>
      </c>
      <c r="I13" s="47" t="s">
        <v>68</v>
      </c>
      <c r="J13" s="57">
        <v>46023</v>
      </c>
      <c r="K13" s="45">
        <v>150000</v>
      </c>
      <c r="M13" s="5"/>
    </row>
    <row r="14" spans="1:13" x14ac:dyDescent="0.2">
      <c r="A14" s="8"/>
      <c r="C14" s="48">
        <v>1159</v>
      </c>
      <c r="D14" s="48" t="s">
        <v>14</v>
      </c>
      <c r="E14" s="48">
        <v>1150</v>
      </c>
      <c r="F14" s="48" t="s">
        <v>15</v>
      </c>
      <c r="G14" s="48" t="s">
        <v>1</v>
      </c>
      <c r="H14" s="48" t="s">
        <v>66</v>
      </c>
      <c r="I14" s="47" t="s">
        <v>69</v>
      </c>
      <c r="J14" s="57">
        <v>46023</v>
      </c>
      <c r="K14" s="45">
        <v>10000</v>
      </c>
      <c r="M14" s="5"/>
    </row>
    <row r="15" spans="1:13" x14ac:dyDescent="0.2">
      <c r="A15" s="8"/>
      <c r="C15" s="48">
        <v>1159</v>
      </c>
      <c r="D15" s="48" t="s">
        <v>14</v>
      </c>
      <c r="E15" s="48">
        <v>1150</v>
      </c>
      <c r="F15" s="48" t="s">
        <v>15</v>
      </c>
      <c r="G15" s="48" t="s">
        <v>1</v>
      </c>
      <c r="H15" s="48" t="s">
        <v>66</v>
      </c>
      <c r="I15" s="47" t="s">
        <v>65</v>
      </c>
      <c r="J15" s="57">
        <v>46023</v>
      </c>
      <c r="K15" s="45">
        <v>24671.843625000001</v>
      </c>
      <c r="M15" s="5"/>
    </row>
    <row r="16" spans="1:13" x14ac:dyDescent="0.2">
      <c r="A16" s="8"/>
      <c r="C16" s="48">
        <v>1159</v>
      </c>
      <c r="D16" s="48" t="s">
        <v>14</v>
      </c>
      <c r="E16" s="48">
        <v>1150</v>
      </c>
      <c r="F16" s="48" t="s">
        <v>15</v>
      </c>
      <c r="G16" s="48" t="s">
        <v>1</v>
      </c>
      <c r="H16" s="48" t="s">
        <v>46</v>
      </c>
      <c r="I16" s="47" t="s">
        <v>48</v>
      </c>
      <c r="J16" s="57">
        <v>46023</v>
      </c>
      <c r="K16" s="45">
        <v>2500</v>
      </c>
      <c r="M16" s="5"/>
    </row>
    <row r="17" spans="1:13" x14ac:dyDescent="0.2">
      <c r="A17" s="8"/>
      <c r="C17" s="48">
        <v>1159</v>
      </c>
      <c r="D17" s="48" t="s">
        <v>14</v>
      </c>
      <c r="E17" s="48">
        <v>1150</v>
      </c>
      <c r="F17" s="48" t="s">
        <v>15</v>
      </c>
      <c r="G17" s="48" t="s">
        <v>1</v>
      </c>
      <c r="H17" s="48" t="s">
        <v>41</v>
      </c>
      <c r="I17" s="47" t="s">
        <v>40</v>
      </c>
      <c r="J17" s="57">
        <v>46023</v>
      </c>
      <c r="K17" s="45">
        <v>1000</v>
      </c>
      <c r="M17" s="5"/>
    </row>
    <row r="18" spans="1:13" x14ac:dyDescent="0.2">
      <c r="A18" s="8"/>
      <c r="C18" s="48">
        <v>1159</v>
      </c>
      <c r="D18" s="48" t="s">
        <v>14</v>
      </c>
      <c r="E18" s="48">
        <v>1150</v>
      </c>
      <c r="F18" s="48" t="s">
        <v>15</v>
      </c>
      <c r="G18" s="48" t="s">
        <v>1</v>
      </c>
      <c r="H18" s="48" t="s">
        <v>132</v>
      </c>
      <c r="I18" s="47" t="s">
        <v>47</v>
      </c>
      <c r="J18" s="57">
        <v>46023</v>
      </c>
      <c r="K18" s="45">
        <v>120</v>
      </c>
      <c r="M18" s="5"/>
    </row>
    <row r="19" spans="1:13" x14ac:dyDescent="0.2">
      <c r="A19" s="8"/>
      <c r="C19" s="48">
        <v>1159</v>
      </c>
      <c r="D19" s="48" t="s">
        <v>14</v>
      </c>
      <c r="E19" s="48">
        <v>1150</v>
      </c>
      <c r="F19" s="48" t="s">
        <v>15</v>
      </c>
      <c r="G19" s="48" t="s">
        <v>1</v>
      </c>
      <c r="H19" s="48" t="s">
        <v>46</v>
      </c>
      <c r="I19" s="47" t="s">
        <v>64</v>
      </c>
      <c r="J19" s="57">
        <v>46023</v>
      </c>
      <c r="K19" s="45"/>
      <c r="M19" s="5"/>
    </row>
    <row r="20" spans="1:13" x14ac:dyDescent="0.2">
      <c r="A20" s="8"/>
      <c r="C20" s="48">
        <v>1159</v>
      </c>
      <c r="D20" s="48" t="s">
        <v>14</v>
      </c>
      <c r="E20" s="48">
        <v>1150</v>
      </c>
      <c r="F20" s="48" t="s">
        <v>15</v>
      </c>
      <c r="G20" s="48" t="s">
        <v>1</v>
      </c>
      <c r="H20" s="48" t="s">
        <v>46</v>
      </c>
      <c r="I20" s="47" t="s">
        <v>63</v>
      </c>
      <c r="J20" s="57">
        <v>46023</v>
      </c>
      <c r="K20" s="45"/>
      <c r="M20" s="5"/>
    </row>
    <row r="21" spans="1:13" x14ac:dyDescent="0.2">
      <c r="A21" s="8"/>
      <c r="C21" s="48">
        <v>1159</v>
      </c>
      <c r="D21" s="48" t="s">
        <v>14</v>
      </c>
      <c r="E21" s="48">
        <v>1150</v>
      </c>
      <c r="F21" s="48" t="s">
        <v>15</v>
      </c>
      <c r="G21" s="48" t="s">
        <v>1</v>
      </c>
      <c r="H21" s="48" t="s">
        <v>46</v>
      </c>
      <c r="I21" s="47" t="s">
        <v>444</v>
      </c>
      <c r="J21" s="57">
        <v>46023</v>
      </c>
      <c r="K21" s="45">
        <v>0</v>
      </c>
      <c r="M21" s="5"/>
    </row>
    <row r="22" spans="1:13" x14ac:dyDescent="0.2">
      <c r="A22" s="8"/>
      <c r="C22" s="48">
        <v>1159</v>
      </c>
      <c r="D22" s="48" t="s">
        <v>14</v>
      </c>
      <c r="E22" s="48">
        <v>1150</v>
      </c>
      <c r="F22" s="48" t="s">
        <v>15</v>
      </c>
      <c r="G22" s="48" t="s">
        <v>1</v>
      </c>
      <c r="H22" s="48" t="s">
        <v>66</v>
      </c>
      <c r="I22" s="47" t="s">
        <v>65</v>
      </c>
      <c r="J22" s="57">
        <v>46023</v>
      </c>
      <c r="K22" s="45">
        <v>5000</v>
      </c>
      <c r="M22" s="5"/>
    </row>
    <row r="23" spans="1:13" x14ac:dyDescent="0.2">
      <c r="A23" s="8"/>
      <c r="C23" s="48">
        <v>1159</v>
      </c>
      <c r="D23" s="48" t="s">
        <v>14</v>
      </c>
      <c r="E23" s="48">
        <v>1159</v>
      </c>
      <c r="F23" s="48" t="s">
        <v>14</v>
      </c>
      <c r="G23" s="48" t="s">
        <v>1</v>
      </c>
      <c r="H23" s="48" t="s">
        <v>132</v>
      </c>
      <c r="I23" s="47" t="s">
        <v>43</v>
      </c>
      <c r="J23" s="57">
        <v>46023</v>
      </c>
      <c r="K23" s="45">
        <v>37.5</v>
      </c>
      <c r="M23" s="5"/>
    </row>
    <row r="24" spans="1:13" x14ac:dyDescent="0.2">
      <c r="A24" s="8"/>
      <c r="C24" s="48">
        <v>1159</v>
      </c>
      <c r="D24" s="48" t="s">
        <v>14</v>
      </c>
      <c r="E24" s="48">
        <v>1159</v>
      </c>
      <c r="F24" s="48" t="s">
        <v>14</v>
      </c>
      <c r="G24" s="48" t="s">
        <v>1</v>
      </c>
      <c r="H24" s="48" t="s">
        <v>50</v>
      </c>
      <c r="I24" s="47" t="s">
        <v>49</v>
      </c>
      <c r="J24" s="57">
        <v>46023</v>
      </c>
      <c r="K24" s="45">
        <v>550</v>
      </c>
      <c r="M24" s="5"/>
    </row>
    <row r="25" spans="1:13" x14ac:dyDescent="0.2">
      <c r="A25" s="8"/>
      <c r="C25" s="48">
        <v>1159</v>
      </c>
      <c r="D25" s="48" t="s">
        <v>14</v>
      </c>
      <c r="E25" s="48">
        <v>1159</v>
      </c>
      <c r="F25" s="48" t="s">
        <v>14</v>
      </c>
      <c r="G25" s="48" t="s">
        <v>1</v>
      </c>
      <c r="H25" s="48" t="s">
        <v>66</v>
      </c>
      <c r="I25" s="47" t="s">
        <v>65</v>
      </c>
      <c r="J25" s="57">
        <v>46023</v>
      </c>
      <c r="K25" s="45">
        <v>2000</v>
      </c>
      <c r="M25" s="5"/>
    </row>
    <row r="26" spans="1:13" x14ac:dyDescent="0.2">
      <c r="A26" s="8"/>
      <c r="C26" s="48">
        <v>1159</v>
      </c>
      <c r="D26" s="48" t="s">
        <v>14</v>
      </c>
      <c r="E26" s="48">
        <v>1159</v>
      </c>
      <c r="F26" s="48" t="s">
        <v>14</v>
      </c>
      <c r="G26" s="48" t="s">
        <v>1</v>
      </c>
      <c r="H26" s="48" t="s">
        <v>57</v>
      </c>
      <c r="I26" s="47" t="s">
        <v>60</v>
      </c>
      <c r="J26" s="57">
        <v>46023</v>
      </c>
      <c r="K26" s="45">
        <v>2402.321625</v>
      </c>
      <c r="M26" s="5"/>
    </row>
    <row r="27" spans="1:13" x14ac:dyDescent="0.2">
      <c r="A27" s="8"/>
      <c r="C27" s="48">
        <v>1159</v>
      </c>
      <c r="D27" s="48" t="s">
        <v>14</v>
      </c>
      <c r="E27" s="48">
        <v>1159</v>
      </c>
      <c r="F27" s="48" t="s">
        <v>14</v>
      </c>
      <c r="G27" s="48" t="s">
        <v>1</v>
      </c>
      <c r="H27" s="48" t="s">
        <v>57</v>
      </c>
      <c r="I27" s="47" t="s">
        <v>59</v>
      </c>
      <c r="J27" s="57">
        <v>46023</v>
      </c>
      <c r="K27" s="45">
        <v>6544.64</v>
      </c>
      <c r="M27" s="5"/>
    </row>
    <row r="28" spans="1:13" x14ac:dyDescent="0.2">
      <c r="A28" s="8"/>
      <c r="C28" s="48">
        <v>1159</v>
      </c>
      <c r="D28" s="48" t="s">
        <v>14</v>
      </c>
      <c r="E28" s="48">
        <v>1159</v>
      </c>
      <c r="F28" s="48" t="s">
        <v>14</v>
      </c>
      <c r="G28" s="48" t="s">
        <v>1</v>
      </c>
      <c r="H28" s="48" t="s">
        <v>57</v>
      </c>
      <c r="I28" s="47" t="s">
        <v>453</v>
      </c>
      <c r="J28" s="57">
        <v>46023</v>
      </c>
      <c r="K28" s="45"/>
      <c r="M28" s="5"/>
    </row>
    <row r="29" spans="1:13" x14ac:dyDescent="0.2">
      <c r="A29" s="8"/>
      <c r="C29" s="48">
        <v>1159</v>
      </c>
      <c r="D29" s="48" t="s">
        <v>14</v>
      </c>
      <c r="E29" s="48">
        <v>1159</v>
      </c>
      <c r="F29" s="48" t="s">
        <v>14</v>
      </c>
      <c r="G29" s="48" t="s">
        <v>1</v>
      </c>
      <c r="H29" s="48" t="s">
        <v>41</v>
      </c>
      <c r="I29" s="47" t="s">
        <v>55</v>
      </c>
      <c r="J29" s="57">
        <v>46023</v>
      </c>
      <c r="K29" s="45">
        <v>4940.6046249999999</v>
      </c>
      <c r="M29" s="5"/>
    </row>
    <row r="30" spans="1:13" x14ac:dyDescent="0.2">
      <c r="A30" s="8"/>
      <c r="C30" s="48">
        <v>1159</v>
      </c>
      <c r="D30" s="48" t="s">
        <v>14</v>
      </c>
      <c r="E30" s="48">
        <v>1159</v>
      </c>
      <c r="F30" s="48" t="s">
        <v>14</v>
      </c>
      <c r="G30" s="48" t="s">
        <v>1</v>
      </c>
      <c r="H30" s="48" t="s">
        <v>41</v>
      </c>
      <c r="I30" s="47" t="s">
        <v>138</v>
      </c>
      <c r="J30" s="57">
        <v>46023</v>
      </c>
      <c r="K30" s="45">
        <v>6000</v>
      </c>
      <c r="M30" s="5"/>
    </row>
    <row r="31" spans="1:13" x14ac:dyDescent="0.2">
      <c r="A31" s="8"/>
      <c r="C31" s="48">
        <v>1159</v>
      </c>
      <c r="D31" s="48" t="s">
        <v>14</v>
      </c>
      <c r="E31" s="48">
        <v>1159</v>
      </c>
      <c r="F31" s="48" t="s">
        <v>14</v>
      </c>
      <c r="G31" s="48" t="s">
        <v>1</v>
      </c>
      <c r="H31" s="48" t="s">
        <v>57</v>
      </c>
      <c r="I31" s="47" t="s">
        <v>56</v>
      </c>
      <c r="J31" s="57">
        <v>46023</v>
      </c>
      <c r="K31" s="45">
        <v>891.80850000000021</v>
      </c>
      <c r="M31" s="5"/>
    </row>
    <row r="32" spans="1:13" x14ac:dyDescent="0.2">
      <c r="A32" s="8"/>
      <c r="C32" s="48">
        <v>1159</v>
      </c>
      <c r="D32" s="48" t="s">
        <v>14</v>
      </c>
      <c r="E32" s="48">
        <v>1159</v>
      </c>
      <c r="F32" s="48" t="s">
        <v>14</v>
      </c>
      <c r="G32" s="48" t="s">
        <v>1</v>
      </c>
      <c r="H32" s="48" t="s">
        <v>41</v>
      </c>
      <c r="I32" s="47" t="s">
        <v>52</v>
      </c>
      <c r="J32" s="57">
        <v>46023</v>
      </c>
      <c r="K32" s="45">
        <v>725.81024999999988</v>
      </c>
      <c r="M32" s="5"/>
    </row>
    <row r="33" spans="1:13" x14ac:dyDescent="0.2">
      <c r="A33" s="8"/>
      <c r="C33" s="48">
        <v>1159</v>
      </c>
      <c r="D33" s="48" t="s">
        <v>14</v>
      </c>
      <c r="E33" s="48">
        <v>1159</v>
      </c>
      <c r="F33" s="48" t="s">
        <v>14</v>
      </c>
      <c r="G33" s="48" t="s">
        <v>1</v>
      </c>
      <c r="H33" s="48" t="s">
        <v>41</v>
      </c>
      <c r="I33" s="47" t="s">
        <v>40</v>
      </c>
      <c r="J33" s="57">
        <v>46023</v>
      </c>
      <c r="K33" s="45">
        <v>600</v>
      </c>
      <c r="M33" s="5"/>
    </row>
    <row r="34" spans="1:13" x14ac:dyDescent="0.2">
      <c r="A34" s="8"/>
      <c r="C34" s="48">
        <v>1159</v>
      </c>
      <c r="D34" s="48" t="s">
        <v>14</v>
      </c>
      <c r="E34" s="48">
        <v>1160</v>
      </c>
      <c r="F34" s="48" t="s">
        <v>13</v>
      </c>
      <c r="G34" s="48" t="s">
        <v>1</v>
      </c>
      <c r="H34" s="48" t="s">
        <v>132</v>
      </c>
      <c r="I34" s="47" t="s">
        <v>43</v>
      </c>
      <c r="J34" s="57">
        <v>46023</v>
      </c>
      <c r="K34" s="45">
        <v>137.5</v>
      </c>
      <c r="M34" s="5"/>
    </row>
    <row r="35" spans="1:13" x14ac:dyDescent="0.2">
      <c r="A35" s="8"/>
      <c r="C35" s="48">
        <v>1159</v>
      </c>
      <c r="D35" s="48" t="s">
        <v>14</v>
      </c>
      <c r="E35" s="48">
        <v>1160</v>
      </c>
      <c r="F35" s="48" t="s">
        <v>13</v>
      </c>
      <c r="G35" s="48" t="s">
        <v>1</v>
      </c>
      <c r="H35" s="48" t="s">
        <v>0</v>
      </c>
      <c r="I35" s="47" t="s">
        <v>51</v>
      </c>
      <c r="J35" s="57">
        <v>46023</v>
      </c>
      <c r="K35" s="45">
        <v>25000</v>
      </c>
      <c r="M35" s="5"/>
    </row>
    <row r="36" spans="1:13" x14ac:dyDescent="0.2">
      <c r="A36" s="8"/>
      <c r="C36" s="48">
        <v>1159</v>
      </c>
      <c r="D36" s="48" t="s">
        <v>14</v>
      </c>
      <c r="E36" s="48">
        <v>1160</v>
      </c>
      <c r="F36" s="48" t="s">
        <v>13</v>
      </c>
      <c r="G36" s="48" t="s">
        <v>1</v>
      </c>
      <c r="H36" s="48" t="s">
        <v>66</v>
      </c>
      <c r="I36" s="47" t="s">
        <v>68</v>
      </c>
      <c r="J36" s="57">
        <v>46023</v>
      </c>
      <c r="K36" s="45">
        <v>10000</v>
      </c>
      <c r="M36" s="5"/>
    </row>
    <row r="37" spans="1:13" x14ac:dyDescent="0.2">
      <c r="A37" s="8"/>
      <c r="C37" s="48">
        <v>1159</v>
      </c>
      <c r="D37" s="48" t="s">
        <v>14</v>
      </c>
      <c r="E37" s="48">
        <v>1160</v>
      </c>
      <c r="F37" s="48" t="s">
        <v>13</v>
      </c>
      <c r="G37" s="48" t="s">
        <v>1</v>
      </c>
      <c r="H37" s="48" t="s">
        <v>66</v>
      </c>
      <c r="I37" s="47" t="s">
        <v>67</v>
      </c>
      <c r="J37" s="57">
        <v>46023</v>
      </c>
      <c r="K37" s="45">
        <v>7000</v>
      </c>
      <c r="M37" s="5"/>
    </row>
    <row r="38" spans="1:13" x14ac:dyDescent="0.2">
      <c r="A38" s="8"/>
      <c r="C38" s="48">
        <v>1159</v>
      </c>
      <c r="D38" s="48" t="s">
        <v>14</v>
      </c>
      <c r="E38" s="48">
        <v>1160</v>
      </c>
      <c r="F38" s="48" t="s">
        <v>13</v>
      </c>
      <c r="G38" s="48" t="s">
        <v>1</v>
      </c>
      <c r="H38" s="48" t="s">
        <v>66</v>
      </c>
      <c r="I38" s="47" t="s">
        <v>65</v>
      </c>
      <c r="J38" s="57">
        <v>46023</v>
      </c>
      <c r="K38" s="45">
        <v>5000</v>
      </c>
      <c r="M38" s="5"/>
    </row>
    <row r="39" spans="1:13" x14ac:dyDescent="0.2">
      <c r="A39" s="8"/>
      <c r="C39" s="48">
        <v>1159</v>
      </c>
      <c r="D39" s="48" t="s">
        <v>14</v>
      </c>
      <c r="E39" s="48">
        <v>1160</v>
      </c>
      <c r="F39" s="48" t="s">
        <v>13</v>
      </c>
      <c r="G39" s="48" t="s">
        <v>1</v>
      </c>
      <c r="H39" s="48" t="s">
        <v>46</v>
      </c>
      <c r="I39" s="47" t="s">
        <v>48</v>
      </c>
      <c r="J39" s="57">
        <v>46023</v>
      </c>
      <c r="K39" s="45">
        <v>21000</v>
      </c>
      <c r="M39" s="5"/>
    </row>
    <row r="40" spans="1:13" x14ac:dyDescent="0.2">
      <c r="A40" s="8"/>
      <c r="C40" s="48">
        <v>1159</v>
      </c>
      <c r="D40" s="48" t="s">
        <v>14</v>
      </c>
      <c r="E40" s="48">
        <v>1160</v>
      </c>
      <c r="F40" s="48" t="s">
        <v>13</v>
      </c>
      <c r="G40" s="48" t="s">
        <v>1</v>
      </c>
      <c r="H40" s="48" t="s">
        <v>41</v>
      </c>
      <c r="I40" s="47" t="s">
        <v>40</v>
      </c>
      <c r="J40" s="57">
        <v>46023</v>
      </c>
      <c r="K40" s="45">
        <v>300</v>
      </c>
      <c r="M40" s="5"/>
    </row>
    <row r="41" spans="1:13" x14ac:dyDescent="0.2">
      <c r="A41" s="8"/>
      <c r="C41" s="48">
        <v>1159</v>
      </c>
      <c r="D41" s="48" t="s">
        <v>14</v>
      </c>
      <c r="E41" s="48">
        <v>1150</v>
      </c>
      <c r="F41" s="48" t="s">
        <v>15</v>
      </c>
      <c r="G41" s="48" t="s">
        <v>1</v>
      </c>
      <c r="H41" s="48" t="s">
        <v>3</v>
      </c>
      <c r="I41" s="47" t="s">
        <v>39</v>
      </c>
      <c r="J41" s="57">
        <v>46023</v>
      </c>
      <c r="K41" s="45">
        <v>2065.9478260000001</v>
      </c>
      <c r="M41" s="5"/>
    </row>
    <row r="42" spans="1:13" x14ac:dyDescent="0.2">
      <c r="A42" s="8"/>
      <c r="C42" s="48">
        <v>1159</v>
      </c>
      <c r="D42" s="48" t="s">
        <v>14</v>
      </c>
      <c r="E42" s="48">
        <v>1150</v>
      </c>
      <c r="F42" s="48" t="s">
        <v>15</v>
      </c>
      <c r="G42" s="48" t="s">
        <v>1</v>
      </c>
      <c r="H42" s="48" t="s">
        <v>3</v>
      </c>
      <c r="I42" s="47" t="s">
        <v>32</v>
      </c>
      <c r="J42" s="57">
        <v>46023</v>
      </c>
      <c r="K42" s="45">
        <v>6190.4120109999985</v>
      </c>
      <c r="M42" s="5"/>
    </row>
    <row r="43" spans="1:13" x14ac:dyDescent="0.2">
      <c r="A43" s="8"/>
      <c r="C43" s="48">
        <v>1159</v>
      </c>
      <c r="D43" s="48" t="s">
        <v>14</v>
      </c>
      <c r="E43" s="48">
        <v>1150</v>
      </c>
      <c r="F43" s="48" t="s">
        <v>15</v>
      </c>
      <c r="G43" s="48" t="s">
        <v>1</v>
      </c>
      <c r="H43" s="48" t="s">
        <v>3</v>
      </c>
      <c r="I43" s="47" t="s">
        <v>42</v>
      </c>
      <c r="J43" s="57">
        <v>46023</v>
      </c>
      <c r="K43" s="45">
        <v>0</v>
      </c>
      <c r="M43" s="5"/>
    </row>
    <row r="44" spans="1:13" x14ac:dyDescent="0.2">
      <c r="A44" s="8"/>
      <c r="C44" s="48">
        <v>1159</v>
      </c>
      <c r="D44" s="48" t="s">
        <v>14</v>
      </c>
      <c r="E44" s="48">
        <v>1150</v>
      </c>
      <c r="F44" s="48" t="s">
        <v>15</v>
      </c>
      <c r="G44" s="48" t="s">
        <v>1</v>
      </c>
      <c r="H44" s="48" t="s">
        <v>3</v>
      </c>
      <c r="I44" s="47" t="s">
        <v>442</v>
      </c>
      <c r="J44" s="57">
        <v>46023</v>
      </c>
      <c r="K44" s="45">
        <v>9380.2799999999988</v>
      </c>
      <c r="M44" s="5"/>
    </row>
    <row r="45" spans="1:13" x14ac:dyDescent="0.2">
      <c r="A45" s="8"/>
      <c r="C45" s="48">
        <v>1159</v>
      </c>
      <c r="D45" s="48" t="s">
        <v>14</v>
      </c>
      <c r="E45" s="48">
        <v>1150</v>
      </c>
      <c r="F45" s="48" t="s">
        <v>15</v>
      </c>
      <c r="G45" s="48" t="s">
        <v>1</v>
      </c>
      <c r="H45" s="48" t="s">
        <v>3</v>
      </c>
      <c r="I45" s="47" t="s">
        <v>30</v>
      </c>
      <c r="J45" s="57">
        <v>46023</v>
      </c>
      <c r="K45" s="45">
        <v>375.18000000000006</v>
      </c>
      <c r="M45" s="5"/>
    </row>
    <row r="46" spans="1:13" x14ac:dyDescent="0.2">
      <c r="A46" s="8"/>
      <c r="C46" s="48">
        <v>1159</v>
      </c>
      <c r="D46" s="48" t="s">
        <v>14</v>
      </c>
      <c r="E46" s="48">
        <v>1150</v>
      </c>
      <c r="F46" s="48" t="s">
        <v>15</v>
      </c>
      <c r="G46" s="48" t="s">
        <v>1</v>
      </c>
      <c r="H46" s="48" t="s">
        <v>3</v>
      </c>
      <c r="I46" s="47" t="s">
        <v>29</v>
      </c>
      <c r="J46" s="57">
        <v>46023</v>
      </c>
      <c r="K46" s="45">
        <v>0</v>
      </c>
      <c r="M46" s="5"/>
    </row>
    <row r="47" spans="1:13" x14ac:dyDescent="0.2">
      <c r="A47" s="8"/>
      <c r="C47" s="48">
        <v>1159</v>
      </c>
      <c r="D47" s="48" t="s">
        <v>14</v>
      </c>
      <c r="E47" s="48">
        <v>1150</v>
      </c>
      <c r="F47" s="48" t="s">
        <v>15</v>
      </c>
      <c r="G47" s="48" t="s">
        <v>1</v>
      </c>
      <c r="H47" s="48" t="s">
        <v>3</v>
      </c>
      <c r="I47" s="47" t="s">
        <v>28</v>
      </c>
      <c r="J47" s="57">
        <v>46023</v>
      </c>
      <c r="K47" s="45">
        <v>0</v>
      </c>
      <c r="M47" s="5"/>
    </row>
    <row r="48" spans="1:13" x14ac:dyDescent="0.2">
      <c r="A48" s="8"/>
      <c r="C48" s="48">
        <v>1159</v>
      </c>
      <c r="D48" s="48" t="s">
        <v>14</v>
      </c>
      <c r="E48" s="48">
        <v>1150</v>
      </c>
      <c r="F48" s="48" t="s">
        <v>15</v>
      </c>
      <c r="G48" s="48" t="s">
        <v>1</v>
      </c>
      <c r="H48" s="48" t="s">
        <v>3</v>
      </c>
      <c r="I48" s="47" t="s">
        <v>27</v>
      </c>
      <c r="J48" s="57">
        <v>46023</v>
      </c>
      <c r="K48" s="45">
        <v>5945.1736000000001</v>
      </c>
      <c r="M48" s="5"/>
    </row>
    <row r="49" spans="1:13" x14ac:dyDescent="0.2">
      <c r="A49" s="8"/>
      <c r="C49" s="48">
        <v>1159</v>
      </c>
      <c r="D49" s="48" t="s">
        <v>14</v>
      </c>
      <c r="E49" s="48">
        <v>1150</v>
      </c>
      <c r="F49" s="48" t="s">
        <v>15</v>
      </c>
      <c r="G49" s="48" t="s">
        <v>1</v>
      </c>
      <c r="H49" s="48" t="s">
        <v>3</v>
      </c>
      <c r="I49" s="47" t="s">
        <v>26</v>
      </c>
      <c r="J49" s="57">
        <v>46023</v>
      </c>
      <c r="K49" s="45">
        <v>165.27582608</v>
      </c>
      <c r="M49" s="5"/>
    </row>
    <row r="50" spans="1:13" x14ac:dyDescent="0.2">
      <c r="A50" s="8"/>
      <c r="C50" s="48">
        <v>1159</v>
      </c>
      <c r="D50" s="48" t="s">
        <v>14</v>
      </c>
      <c r="E50" s="48">
        <v>1150</v>
      </c>
      <c r="F50" s="48" t="s">
        <v>15</v>
      </c>
      <c r="G50" s="48" t="s">
        <v>1</v>
      </c>
      <c r="H50" s="48" t="s">
        <v>3</v>
      </c>
      <c r="I50" s="47" t="s">
        <v>25</v>
      </c>
      <c r="J50" s="57">
        <v>46023</v>
      </c>
      <c r="K50" s="45">
        <v>495.23296088000006</v>
      </c>
      <c r="M50" s="5"/>
    </row>
    <row r="51" spans="1:13" x14ac:dyDescent="0.2">
      <c r="A51" s="8"/>
      <c r="C51" s="48">
        <v>1159</v>
      </c>
      <c r="D51" s="48" t="s">
        <v>14</v>
      </c>
      <c r="E51" s="48">
        <v>1150</v>
      </c>
      <c r="F51" s="48" t="s">
        <v>15</v>
      </c>
      <c r="G51" s="48" t="s">
        <v>1</v>
      </c>
      <c r="H51" s="48" t="s">
        <v>3</v>
      </c>
      <c r="I51" s="47" t="s">
        <v>24</v>
      </c>
      <c r="J51" s="57">
        <v>46023</v>
      </c>
      <c r="K51" s="45">
        <v>6539.6909600000008</v>
      </c>
      <c r="M51" s="5"/>
    </row>
    <row r="52" spans="1:13" x14ac:dyDescent="0.2">
      <c r="A52" s="8"/>
      <c r="C52" s="48">
        <v>1159</v>
      </c>
      <c r="D52" s="48" t="s">
        <v>14</v>
      </c>
      <c r="E52" s="48">
        <v>1150</v>
      </c>
      <c r="F52" s="48" t="s">
        <v>15</v>
      </c>
      <c r="G52" s="48" t="s">
        <v>1</v>
      </c>
      <c r="H52" s="48" t="s">
        <v>3</v>
      </c>
      <c r="I52" s="47" t="s">
        <v>23</v>
      </c>
      <c r="J52" s="57">
        <v>46023</v>
      </c>
      <c r="K52" s="45">
        <v>181.80340868800002</v>
      </c>
      <c r="M52" s="5"/>
    </row>
    <row r="53" spans="1:13" x14ac:dyDescent="0.2">
      <c r="A53" s="8"/>
      <c r="C53" s="48">
        <v>1159</v>
      </c>
      <c r="D53" s="48" t="s">
        <v>14</v>
      </c>
      <c r="E53" s="48">
        <v>1150</v>
      </c>
      <c r="F53" s="48" t="s">
        <v>15</v>
      </c>
      <c r="G53" s="48" t="s">
        <v>1</v>
      </c>
      <c r="H53" s="48" t="s">
        <v>3</v>
      </c>
      <c r="I53" s="47" t="s">
        <v>22</v>
      </c>
      <c r="J53" s="57">
        <v>46023</v>
      </c>
      <c r="K53" s="45">
        <v>206.5947826</v>
      </c>
      <c r="M53" s="5"/>
    </row>
    <row r="54" spans="1:13" x14ac:dyDescent="0.2">
      <c r="A54" s="8"/>
      <c r="C54" s="48">
        <v>1159</v>
      </c>
      <c r="D54" s="48" t="s">
        <v>14</v>
      </c>
      <c r="E54" s="48">
        <v>1150</v>
      </c>
      <c r="F54" s="48" t="s">
        <v>15</v>
      </c>
      <c r="G54" s="48" t="s">
        <v>1</v>
      </c>
      <c r="H54" s="48" t="s">
        <v>3</v>
      </c>
      <c r="I54" s="47" t="s">
        <v>21</v>
      </c>
      <c r="J54" s="57">
        <v>46023</v>
      </c>
      <c r="K54" s="45">
        <v>544.756256968</v>
      </c>
      <c r="M54" s="5"/>
    </row>
    <row r="55" spans="1:13" x14ac:dyDescent="0.2">
      <c r="A55" s="8"/>
      <c r="C55" s="48">
        <v>1159</v>
      </c>
      <c r="D55" s="48" t="s">
        <v>14</v>
      </c>
      <c r="E55" s="48">
        <v>1150</v>
      </c>
      <c r="F55" s="48" t="s">
        <v>15</v>
      </c>
      <c r="G55" s="48" t="s">
        <v>1</v>
      </c>
      <c r="H55" s="48" t="s">
        <v>3</v>
      </c>
      <c r="I55" s="47" t="s">
        <v>20</v>
      </c>
      <c r="J55" s="57">
        <v>46023</v>
      </c>
      <c r="K55" s="45">
        <v>619.04120110000008</v>
      </c>
      <c r="M55" s="5"/>
    </row>
    <row r="56" spans="1:13" x14ac:dyDescent="0.2">
      <c r="A56" s="8"/>
      <c r="C56" s="48">
        <v>1159</v>
      </c>
      <c r="D56" s="48" t="s">
        <v>14</v>
      </c>
      <c r="E56" s="48">
        <v>1150</v>
      </c>
      <c r="F56" s="48" t="s">
        <v>15</v>
      </c>
      <c r="G56" s="48" t="s">
        <v>1</v>
      </c>
      <c r="H56" s="48" t="s">
        <v>3</v>
      </c>
      <c r="I56" s="47" t="s">
        <v>19</v>
      </c>
      <c r="J56" s="57">
        <v>46023</v>
      </c>
      <c r="K56" s="45">
        <v>7431.4670000000006</v>
      </c>
      <c r="M56" s="5"/>
    </row>
    <row r="57" spans="1:13" x14ac:dyDescent="0.2">
      <c r="A57" s="8"/>
      <c r="C57" s="48">
        <v>1159</v>
      </c>
      <c r="D57" s="48" t="s">
        <v>14</v>
      </c>
      <c r="E57" s="48">
        <v>1150</v>
      </c>
      <c r="F57" s="48" t="s">
        <v>15</v>
      </c>
      <c r="G57" s="48" t="s">
        <v>1</v>
      </c>
      <c r="H57" s="48" t="s">
        <v>3</v>
      </c>
      <c r="I57" s="47" t="s">
        <v>18</v>
      </c>
      <c r="J57" s="57">
        <v>46023</v>
      </c>
      <c r="K57" s="45">
        <v>72484.428199999995</v>
      </c>
      <c r="M57" s="5"/>
    </row>
    <row r="58" spans="1:13" x14ac:dyDescent="0.2">
      <c r="A58" s="8"/>
      <c r="C58" s="48">
        <v>1159</v>
      </c>
      <c r="D58" s="48" t="s">
        <v>14</v>
      </c>
      <c r="E58" s="48">
        <v>1150</v>
      </c>
      <c r="F58" s="48" t="s">
        <v>15</v>
      </c>
      <c r="G58" s="48" t="s">
        <v>1</v>
      </c>
      <c r="H58" s="48" t="s">
        <v>3</v>
      </c>
      <c r="I58" s="47" t="s">
        <v>17</v>
      </c>
      <c r="J58" s="57">
        <v>46023</v>
      </c>
      <c r="K58" s="45">
        <v>210.24000000000004</v>
      </c>
      <c r="M58" s="5"/>
    </row>
    <row r="59" spans="1:13" x14ac:dyDescent="0.2">
      <c r="A59" s="8"/>
      <c r="C59" s="48">
        <v>1159</v>
      </c>
      <c r="D59" s="48" t="s">
        <v>14</v>
      </c>
      <c r="E59" s="48">
        <v>1150</v>
      </c>
      <c r="F59" s="48" t="s">
        <v>15</v>
      </c>
      <c r="G59" s="48" t="s">
        <v>1</v>
      </c>
      <c r="H59" s="48" t="s">
        <v>3</v>
      </c>
      <c r="I59" s="47" t="s">
        <v>12</v>
      </c>
      <c r="J59" s="57">
        <v>46023</v>
      </c>
      <c r="K59" s="45">
        <v>9975</v>
      </c>
      <c r="M59" s="5"/>
    </row>
    <row r="60" spans="1:13" x14ac:dyDescent="0.2">
      <c r="A60" s="8"/>
      <c r="C60" s="48">
        <v>1159</v>
      </c>
      <c r="D60" s="48" t="s">
        <v>14</v>
      </c>
      <c r="E60" s="48">
        <v>1150</v>
      </c>
      <c r="F60" s="48" t="s">
        <v>15</v>
      </c>
      <c r="G60" s="48" t="s">
        <v>1</v>
      </c>
      <c r="H60" s="48" t="s">
        <v>3</v>
      </c>
      <c r="I60" s="47" t="s">
        <v>16</v>
      </c>
      <c r="J60" s="57">
        <v>46023</v>
      </c>
      <c r="K60" s="45">
        <v>753.48</v>
      </c>
      <c r="M60" s="5"/>
    </row>
    <row r="61" spans="1:13" x14ac:dyDescent="0.2">
      <c r="A61" s="8"/>
      <c r="C61" s="48">
        <v>1159</v>
      </c>
      <c r="D61" s="48" t="s">
        <v>14</v>
      </c>
      <c r="E61" s="48">
        <v>1159</v>
      </c>
      <c r="F61" s="48" t="s">
        <v>14</v>
      </c>
      <c r="G61" s="48" t="s">
        <v>1</v>
      </c>
      <c r="H61" s="48" t="s">
        <v>3</v>
      </c>
      <c r="I61" s="47" t="s">
        <v>39</v>
      </c>
      <c r="J61" s="57">
        <v>46023</v>
      </c>
      <c r="K61" s="45">
        <v>1658.8415679999998</v>
      </c>
      <c r="M61" s="5"/>
    </row>
    <row r="62" spans="1:13" x14ac:dyDescent="0.2">
      <c r="A62" s="8"/>
      <c r="C62" s="48">
        <v>1159</v>
      </c>
      <c r="D62" s="48" t="s">
        <v>14</v>
      </c>
      <c r="E62" s="48">
        <v>1159</v>
      </c>
      <c r="F62" s="48" t="s">
        <v>14</v>
      </c>
      <c r="G62" s="48" t="s">
        <v>1</v>
      </c>
      <c r="H62" s="48" t="s">
        <v>3</v>
      </c>
      <c r="I62" s="47" t="s">
        <v>32</v>
      </c>
      <c r="J62" s="57">
        <v>46023</v>
      </c>
      <c r="K62" s="45">
        <v>4970.557648</v>
      </c>
      <c r="M62" s="5"/>
    </row>
    <row r="63" spans="1:13" x14ac:dyDescent="0.2">
      <c r="A63" s="8"/>
      <c r="C63" s="48">
        <v>1159</v>
      </c>
      <c r="D63" s="48" t="s">
        <v>14</v>
      </c>
      <c r="E63" s="48">
        <v>1159</v>
      </c>
      <c r="F63" s="48" t="s">
        <v>14</v>
      </c>
      <c r="G63" s="48" t="s">
        <v>1</v>
      </c>
      <c r="H63" s="48" t="s">
        <v>3</v>
      </c>
      <c r="I63" s="47" t="s">
        <v>42</v>
      </c>
      <c r="J63" s="57">
        <v>46023</v>
      </c>
      <c r="K63" s="45">
        <v>0</v>
      </c>
      <c r="M63" s="5"/>
    </row>
    <row r="64" spans="1:13" x14ac:dyDescent="0.2">
      <c r="A64" s="8"/>
      <c r="C64" s="48">
        <v>1159</v>
      </c>
      <c r="D64" s="48" t="s">
        <v>14</v>
      </c>
      <c r="E64" s="48">
        <v>1159</v>
      </c>
      <c r="F64" s="48" t="s">
        <v>14</v>
      </c>
      <c r="G64" s="48" t="s">
        <v>1</v>
      </c>
      <c r="H64" s="48" t="s">
        <v>3</v>
      </c>
      <c r="I64" s="47" t="s">
        <v>442</v>
      </c>
      <c r="J64" s="57">
        <v>46023</v>
      </c>
      <c r="K64" s="45">
        <v>2612.88</v>
      </c>
      <c r="M64" s="5"/>
    </row>
    <row r="65" spans="1:13" x14ac:dyDescent="0.2">
      <c r="A65" s="8"/>
      <c r="C65" s="48">
        <v>1159</v>
      </c>
      <c r="D65" s="48" t="s">
        <v>14</v>
      </c>
      <c r="E65" s="48">
        <v>1159</v>
      </c>
      <c r="F65" s="48" t="s">
        <v>14</v>
      </c>
      <c r="G65" s="48" t="s">
        <v>1</v>
      </c>
      <c r="H65" s="48" t="s">
        <v>3</v>
      </c>
      <c r="I65" s="47" t="s">
        <v>30</v>
      </c>
      <c r="J65" s="57">
        <v>46023</v>
      </c>
      <c r="K65" s="45">
        <v>86.58</v>
      </c>
      <c r="M65" s="5"/>
    </row>
    <row r="66" spans="1:13" x14ac:dyDescent="0.2">
      <c r="A66" s="8"/>
      <c r="C66" s="48">
        <v>1159</v>
      </c>
      <c r="D66" s="48" t="s">
        <v>14</v>
      </c>
      <c r="E66" s="48">
        <v>1159</v>
      </c>
      <c r="F66" s="48" t="s">
        <v>14</v>
      </c>
      <c r="G66" s="48" t="s">
        <v>1</v>
      </c>
      <c r="H66" s="48" t="s">
        <v>3</v>
      </c>
      <c r="I66" s="47" t="s">
        <v>29</v>
      </c>
      <c r="J66" s="57">
        <v>46023</v>
      </c>
      <c r="K66" s="45">
        <v>0</v>
      </c>
      <c r="M66" s="5"/>
    </row>
    <row r="67" spans="1:13" x14ac:dyDescent="0.2">
      <c r="A67" s="8"/>
      <c r="C67" s="48">
        <v>1159</v>
      </c>
      <c r="D67" s="48" t="s">
        <v>14</v>
      </c>
      <c r="E67" s="48">
        <v>1159</v>
      </c>
      <c r="F67" s="48" t="s">
        <v>14</v>
      </c>
      <c r="G67" s="48" t="s">
        <v>1</v>
      </c>
      <c r="H67" s="48" t="s">
        <v>3</v>
      </c>
      <c r="I67" s="47" t="s">
        <v>28</v>
      </c>
      <c r="J67" s="57">
        <v>46023</v>
      </c>
      <c r="K67" s="45"/>
      <c r="M67" s="5"/>
    </row>
    <row r="68" spans="1:13" x14ac:dyDescent="0.2">
      <c r="A68" s="8"/>
      <c r="C68" s="48">
        <v>1159</v>
      </c>
      <c r="D68" s="48" t="s">
        <v>14</v>
      </c>
      <c r="E68" s="48">
        <v>1159</v>
      </c>
      <c r="F68" s="48" t="s">
        <v>14</v>
      </c>
      <c r="G68" s="48" t="s">
        <v>1</v>
      </c>
      <c r="H68" s="48" t="s">
        <v>3</v>
      </c>
      <c r="I68" s="47" t="s">
        <v>27</v>
      </c>
      <c r="J68" s="57">
        <v>46023</v>
      </c>
      <c r="K68" s="45">
        <v>4773.6448</v>
      </c>
      <c r="M68" s="5"/>
    </row>
    <row r="69" spans="1:13" x14ac:dyDescent="0.2">
      <c r="A69" s="8"/>
      <c r="C69" s="48">
        <v>1159</v>
      </c>
      <c r="D69" s="48" t="s">
        <v>14</v>
      </c>
      <c r="E69" s="48">
        <v>1159</v>
      </c>
      <c r="F69" s="48" t="s">
        <v>14</v>
      </c>
      <c r="G69" s="48" t="s">
        <v>1</v>
      </c>
      <c r="H69" s="48" t="s">
        <v>3</v>
      </c>
      <c r="I69" s="47" t="s">
        <v>26</v>
      </c>
      <c r="J69" s="57">
        <v>46023</v>
      </c>
      <c r="K69" s="45">
        <v>132.70732544000001</v>
      </c>
      <c r="M69" s="5"/>
    </row>
    <row r="70" spans="1:13" x14ac:dyDescent="0.2">
      <c r="A70" s="8"/>
      <c r="C70" s="48">
        <v>1159</v>
      </c>
      <c r="D70" s="48" t="s">
        <v>14</v>
      </c>
      <c r="E70" s="48">
        <v>1159</v>
      </c>
      <c r="F70" s="48" t="s">
        <v>14</v>
      </c>
      <c r="G70" s="48" t="s">
        <v>1</v>
      </c>
      <c r="H70" s="48" t="s">
        <v>3</v>
      </c>
      <c r="I70" s="47" t="s">
        <v>25</v>
      </c>
      <c r="J70" s="57">
        <v>46023</v>
      </c>
      <c r="K70" s="45">
        <v>397.64461183999998</v>
      </c>
      <c r="M70" s="5"/>
    </row>
    <row r="71" spans="1:13" x14ac:dyDescent="0.2">
      <c r="A71" s="8"/>
      <c r="C71" s="48">
        <v>1159</v>
      </c>
      <c r="D71" s="48" t="s">
        <v>14</v>
      </c>
      <c r="E71" s="48">
        <v>1159</v>
      </c>
      <c r="F71" s="48" t="s">
        <v>14</v>
      </c>
      <c r="G71" s="48" t="s">
        <v>1</v>
      </c>
      <c r="H71" s="48" t="s">
        <v>3</v>
      </c>
      <c r="I71" s="47" t="s">
        <v>24</v>
      </c>
      <c r="J71" s="57">
        <v>46023</v>
      </c>
      <c r="K71" s="45">
        <v>5251.0092800000011</v>
      </c>
      <c r="M71" s="5"/>
    </row>
    <row r="72" spans="1:13" x14ac:dyDescent="0.2">
      <c r="A72" s="8"/>
      <c r="C72" s="48">
        <v>1159</v>
      </c>
      <c r="D72" s="48" t="s">
        <v>14</v>
      </c>
      <c r="E72" s="48">
        <v>1159</v>
      </c>
      <c r="F72" s="48" t="s">
        <v>14</v>
      </c>
      <c r="G72" s="48" t="s">
        <v>1</v>
      </c>
      <c r="H72" s="48" t="s">
        <v>3</v>
      </c>
      <c r="I72" s="47" t="s">
        <v>23</v>
      </c>
      <c r="J72" s="57">
        <v>46023</v>
      </c>
      <c r="K72" s="45">
        <v>145.97805798400003</v>
      </c>
      <c r="M72" s="5"/>
    </row>
    <row r="73" spans="1:13" x14ac:dyDescent="0.2">
      <c r="A73" s="8"/>
      <c r="C73" s="48">
        <v>1159</v>
      </c>
      <c r="D73" s="48" t="s">
        <v>14</v>
      </c>
      <c r="E73" s="48">
        <v>1159</v>
      </c>
      <c r="F73" s="48" t="s">
        <v>14</v>
      </c>
      <c r="G73" s="48" t="s">
        <v>1</v>
      </c>
      <c r="H73" s="48" t="s">
        <v>3</v>
      </c>
      <c r="I73" s="47" t="s">
        <v>22</v>
      </c>
      <c r="J73" s="57">
        <v>46023</v>
      </c>
      <c r="K73" s="45">
        <v>165.8841568</v>
      </c>
      <c r="M73" s="5"/>
    </row>
    <row r="74" spans="1:13" x14ac:dyDescent="0.2">
      <c r="A74" s="8"/>
      <c r="C74" s="48">
        <v>1159</v>
      </c>
      <c r="D74" s="48" t="s">
        <v>14</v>
      </c>
      <c r="E74" s="48">
        <v>1159</v>
      </c>
      <c r="F74" s="48" t="s">
        <v>14</v>
      </c>
      <c r="G74" s="48" t="s">
        <v>1</v>
      </c>
      <c r="H74" s="48" t="s">
        <v>3</v>
      </c>
      <c r="I74" s="47" t="s">
        <v>21</v>
      </c>
      <c r="J74" s="57">
        <v>46023</v>
      </c>
      <c r="K74" s="45">
        <v>437.40907302400007</v>
      </c>
      <c r="M74" s="5"/>
    </row>
    <row r="75" spans="1:13" x14ac:dyDescent="0.2">
      <c r="A75" s="8"/>
      <c r="C75" s="48">
        <v>1159</v>
      </c>
      <c r="D75" s="48" t="s">
        <v>14</v>
      </c>
      <c r="E75" s="48">
        <v>1159</v>
      </c>
      <c r="F75" s="48" t="s">
        <v>14</v>
      </c>
      <c r="G75" s="48" t="s">
        <v>1</v>
      </c>
      <c r="H75" s="48" t="s">
        <v>3</v>
      </c>
      <c r="I75" s="47" t="s">
        <v>20</v>
      </c>
      <c r="J75" s="57">
        <v>46023</v>
      </c>
      <c r="K75" s="45">
        <v>497.05576480000002</v>
      </c>
      <c r="M75" s="5"/>
    </row>
    <row r="76" spans="1:13" x14ac:dyDescent="0.2">
      <c r="A76" s="8"/>
      <c r="C76" s="48">
        <v>1159</v>
      </c>
      <c r="D76" s="48" t="s">
        <v>14</v>
      </c>
      <c r="E76" s="48">
        <v>1159</v>
      </c>
      <c r="F76" s="48" t="s">
        <v>14</v>
      </c>
      <c r="G76" s="48" t="s">
        <v>1</v>
      </c>
      <c r="H76" s="48" t="s">
        <v>3</v>
      </c>
      <c r="I76" s="47" t="s">
        <v>19</v>
      </c>
      <c r="J76" s="57">
        <v>46023</v>
      </c>
      <c r="K76" s="45">
        <v>5967.0560000000005</v>
      </c>
      <c r="M76" s="5"/>
    </row>
    <row r="77" spans="1:13" x14ac:dyDescent="0.2">
      <c r="A77" s="8"/>
      <c r="C77" s="48">
        <v>1159</v>
      </c>
      <c r="D77" s="48" t="s">
        <v>14</v>
      </c>
      <c r="E77" s="48">
        <v>1159</v>
      </c>
      <c r="F77" s="48" t="s">
        <v>14</v>
      </c>
      <c r="G77" s="48" t="s">
        <v>1</v>
      </c>
      <c r="H77" s="48" t="s">
        <v>3</v>
      </c>
      <c r="I77" s="47" t="s">
        <v>18</v>
      </c>
      <c r="J77" s="57">
        <v>46023</v>
      </c>
      <c r="K77" s="45">
        <v>59023.16</v>
      </c>
      <c r="M77" s="5"/>
    </row>
    <row r="78" spans="1:13" x14ac:dyDescent="0.2">
      <c r="A78" s="8"/>
      <c r="C78" s="48">
        <v>1159</v>
      </c>
      <c r="D78" s="48" t="s">
        <v>14</v>
      </c>
      <c r="E78" s="48">
        <v>1159</v>
      </c>
      <c r="F78" s="48" t="s">
        <v>14</v>
      </c>
      <c r="G78" s="48" t="s">
        <v>1</v>
      </c>
      <c r="H78" s="48" t="s">
        <v>3</v>
      </c>
      <c r="I78" s="47" t="s">
        <v>17</v>
      </c>
      <c r="J78" s="57">
        <v>46023</v>
      </c>
      <c r="K78" s="45">
        <v>52.56</v>
      </c>
      <c r="M78" s="5"/>
    </row>
    <row r="79" spans="1:13" x14ac:dyDescent="0.2">
      <c r="A79" s="8"/>
      <c r="C79" s="48">
        <v>1159</v>
      </c>
      <c r="D79" s="48" t="s">
        <v>14</v>
      </c>
      <c r="E79" s="48">
        <v>1159</v>
      </c>
      <c r="F79" s="48" t="s">
        <v>14</v>
      </c>
      <c r="G79" s="48" t="s">
        <v>1</v>
      </c>
      <c r="H79" s="48" t="s">
        <v>3</v>
      </c>
      <c r="I79" s="47" t="s">
        <v>12</v>
      </c>
      <c r="J79" s="57">
        <v>46023</v>
      </c>
      <c r="K79" s="45">
        <v>2520</v>
      </c>
      <c r="M79" s="5"/>
    </row>
    <row r="80" spans="1:13" x14ac:dyDescent="0.2">
      <c r="A80" s="8"/>
      <c r="C80" s="48">
        <v>1159</v>
      </c>
      <c r="D80" s="48" t="s">
        <v>14</v>
      </c>
      <c r="E80" s="48">
        <v>1159</v>
      </c>
      <c r="F80" s="48" t="s">
        <v>14</v>
      </c>
      <c r="G80" s="48" t="s">
        <v>1</v>
      </c>
      <c r="H80" s="48" t="s">
        <v>3</v>
      </c>
      <c r="I80" s="47" t="s">
        <v>16</v>
      </c>
      <c r="J80" s="57">
        <v>46023</v>
      </c>
      <c r="K80" s="45">
        <v>0</v>
      </c>
      <c r="M80" s="5"/>
    </row>
    <row r="81" spans="1:13" x14ac:dyDescent="0.2">
      <c r="A81" s="8"/>
      <c r="C81" s="48">
        <v>1159</v>
      </c>
      <c r="D81" s="48" t="s">
        <v>14</v>
      </c>
      <c r="E81" s="48">
        <v>1160</v>
      </c>
      <c r="F81" s="48" t="s">
        <v>13</v>
      </c>
      <c r="G81" s="48" t="s">
        <v>1</v>
      </c>
      <c r="H81" s="48" t="s">
        <v>3</v>
      </c>
      <c r="I81" s="47" t="s">
        <v>39</v>
      </c>
      <c r="J81" s="57">
        <v>46023</v>
      </c>
      <c r="K81" s="45">
        <v>1683.2049320000001</v>
      </c>
      <c r="M81" s="5"/>
    </row>
    <row r="82" spans="1:13" x14ac:dyDescent="0.2">
      <c r="A82" s="8"/>
      <c r="C82" s="48">
        <v>1159</v>
      </c>
      <c r="D82" s="48" t="s">
        <v>14</v>
      </c>
      <c r="E82" s="48">
        <v>1160</v>
      </c>
      <c r="F82" s="48" t="s">
        <v>13</v>
      </c>
      <c r="G82" s="48" t="s">
        <v>1</v>
      </c>
      <c r="H82" s="48" t="s">
        <v>3</v>
      </c>
      <c r="I82" s="47" t="s">
        <v>32</v>
      </c>
      <c r="J82" s="57">
        <v>46023</v>
      </c>
      <c r="K82" s="45">
        <v>5043.5601019999995</v>
      </c>
      <c r="M82" s="5"/>
    </row>
    <row r="83" spans="1:13" x14ac:dyDescent="0.2">
      <c r="A83" s="8"/>
      <c r="C83" s="48">
        <v>1159</v>
      </c>
      <c r="D83" s="48" t="s">
        <v>14</v>
      </c>
      <c r="E83" s="48">
        <v>1160</v>
      </c>
      <c r="F83" s="48" t="s">
        <v>13</v>
      </c>
      <c r="G83" s="48" t="s">
        <v>1</v>
      </c>
      <c r="H83" s="48" t="s">
        <v>3</v>
      </c>
      <c r="I83" s="47" t="s">
        <v>42</v>
      </c>
      <c r="J83" s="57">
        <v>46023</v>
      </c>
      <c r="K83" s="45">
        <v>0</v>
      </c>
      <c r="M83" s="5"/>
    </row>
    <row r="84" spans="1:13" x14ac:dyDescent="0.2">
      <c r="A84" s="8"/>
      <c r="C84" s="48">
        <v>1159</v>
      </c>
      <c r="D84" s="48" t="s">
        <v>14</v>
      </c>
      <c r="E84" s="48">
        <v>1160</v>
      </c>
      <c r="F84" s="48" t="s">
        <v>13</v>
      </c>
      <c r="G84" s="48" t="s">
        <v>1</v>
      </c>
      <c r="H84" s="48" t="s">
        <v>3</v>
      </c>
      <c r="I84" s="47" t="s">
        <v>442</v>
      </c>
      <c r="J84" s="57">
        <v>46023</v>
      </c>
      <c r="K84" s="45">
        <v>6983.2</v>
      </c>
      <c r="M84" s="5"/>
    </row>
    <row r="85" spans="1:13" x14ac:dyDescent="0.2">
      <c r="A85" s="8"/>
      <c r="C85" s="48">
        <v>1159</v>
      </c>
      <c r="D85" s="48" t="s">
        <v>14</v>
      </c>
      <c r="E85" s="48">
        <v>1160</v>
      </c>
      <c r="F85" s="48" t="s">
        <v>13</v>
      </c>
      <c r="G85" s="48" t="s">
        <v>1</v>
      </c>
      <c r="H85" s="48" t="s">
        <v>3</v>
      </c>
      <c r="I85" s="47" t="s">
        <v>30</v>
      </c>
      <c r="J85" s="57">
        <v>46023</v>
      </c>
      <c r="K85" s="45">
        <v>288.60000000000008</v>
      </c>
      <c r="M85" s="5"/>
    </row>
    <row r="86" spans="1:13" x14ac:dyDescent="0.2">
      <c r="A86" s="8"/>
      <c r="C86" s="48">
        <v>1159</v>
      </c>
      <c r="D86" s="48" t="s">
        <v>14</v>
      </c>
      <c r="E86" s="48">
        <v>1160</v>
      </c>
      <c r="F86" s="48" t="s">
        <v>13</v>
      </c>
      <c r="G86" s="48" t="s">
        <v>1</v>
      </c>
      <c r="H86" s="48" t="s">
        <v>3</v>
      </c>
      <c r="I86" s="47" t="s">
        <v>29</v>
      </c>
      <c r="J86" s="57">
        <v>46023</v>
      </c>
      <c r="K86" s="45">
        <v>0</v>
      </c>
      <c r="M86" s="5"/>
    </row>
    <row r="87" spans="1:13" x14ac:dyDescent="0.2">
      <c r="A87" s="8"/>
      <c r="C87" s="48">
        <v>1159</v>
      </c>
      <c r="D87" s="48" t="s">
        <v>14</v>
      </c>
      <c r="E87" s="48">
        <v>1160</v>
      </c>
      <c r="F87" s="48" t="s">
        <v>13</v>
      </c>
      <c r="G87" s="48" t="s">
        <v>1</v>
      </c>
      <c r="H87" s="48" t="s">
        <v>3</v>
      </c>
      <c r="I87" s="47" t="s">
        <v>28</v>
      </c>
      <c r="J87" s="57">
        <v>46023</v>
      </c>
      <c r="K87" s="45"/>
      <c r="M87" s="5"/>
    </row>
    <row r="88" spans="1:13" x14ac:dyDescent="0.2">
      <c r="A88" s="8"/>
      <c r="C88" s="48">
        <v>1159</v>
      </c>
      <c r="D88" s="48" t="s">
        <v>14</v>
      </c>
      <c r="E88" s="48">
        <v>1160</v>
      </c>
      <c r="F88" s="48" t="s">
        <v>13</v>
      </c>
      <c r="G88" s="48" t="s">
        <v>1</v>
      </c>
      <c r="H88" s="48" t="s">
        <v>3</v>
      </c>
      <c r="I88" s="47" t="s">
        <v>27</v>
      </c>
      <c r="J88" s="57">
        <v>46023</v>
      </c>
      <c r="K88" s="45">
        <v>4843.7551999999996</v>
      </c>
      <c r="M88" s="5"/>
    </row>
    <row r="89" spans="1:13" x14ac:dyDescent="0.2">
      <c r="A89" s="8"/>
      <c r="C89" s="48">
        <v>1159</v>
      </c>
      <c r="D89" s="48" t="s">
        <v>14</v>
      </c>
      <c r="E89" s="48">
        <v>1160</v>
      </c>
      <c r="F89" s="48" t="s">
        <v>13</v>
      </c>
      <c r="G89" s="48" t="s">
        <v>1</v>
      </c>
      <c r="H89" s="48" t="s">
        <v>3</v>
      </c>
      <c r="I89" s="47" t="s">
        <v>26</v>
      </c>
      <c r="J89" s="57">
        <v>46023</v>
      </c>
      <c r="K89" s="45">
        <v>134.65639456</v>
      </c>
      <c r="M89" s="5"/>
    </row>
    <row r="90" spans="1:13" x14ac:dyDescent="0.2">
      <c r="A90" s="8"/>
      <c r="C90" s="48">
        <v>1159</v>
      </c>
      <c r="D90" s="48" t="s">
        <v>14</v>
      </c>
      <c r="E90" s="48">
        <v>1160</v>
      </c>
      <c r="F90" s="48" t="s">
        <v>13</v>
      </c>
      <c r="G90" s="48" t="s">
        <v>1</v>
      </c>
      <c r="H90" s="48" t="s">
        <v>3</v>
      </c>
      <c r="I90" s="47" t="s">
        <v>25</v>
      </c>
      <c r="J90" s="57">
        <v>46023</v>
      </c>
      <c r="K90" s="45">
        <v>403.48480816000006</v>
      </c>
      <c r="M90" s="5"/>
    </row>
    <row r="91" spans="1:13" x14ac:dyDescent="0.2">
      <c r="A91" s="8"/>
      <c r="C91" s="48">
        <v>1159</v>
      </c>
      <c r="D91" s="48" t="s">
        <v>14</v>
      </c>
      <c r="E91" s="48">
        <v>1160</v>
      </c>
      <c r="F91" s="48" t="s">
        <v>13</v>
      </c>
      <c r="G91" s="48" t="s">
        <v>1</v>
      </c>
      <c r="H91" s="48" t="s">
        <v>3</v>
      </c>
      <c r="I91" s="47" t="s">
        <v>24</v>
      </c>
      <c r="J91" s="57">
        <v>46023</v>
      </c>
      <c r="K91" s="45">
        <v>5328.1307200000001</v>
      </c>
      <c r="M91" s="5"/>
    </row>
    <row r="92" spans="1:13" x14ac:dyDescent="0.2">
      <c r="A92" s="8"/>
      <c r="C92" s="48">
        <v>1159</v>
      </c>
      <c r="D92" s="48" t="s">
        <v>14</v>
      </c>
      <c r="E92" s="48">
        <v>1160</v>
      </c>
      <c r="F92" s="48" t="s">
        <v>13</v>
      </c>
      <c r="G92" s="48" t="s">
        <v>1</v>
      </c>
      <c r="H92" s="48" t="s">
        <v>3</v>
      </c>
      <c r="I92" s="47" t="s">
        <v>23</v>
      </c>
      <c r="J92" s="57">
        <v>46023</v>
      </c>
      <c r="K92" s="45">
        <v>148.12203401600001</v>
      </c>
      <c r="M92" s="5"/>
    </row>
    <row r="93" spans="1:13" x14ac:dyDescent="0.2">
      <c r="A93" s="8"/>
      <c r="C93" s="48">
        <v>1159</v>
      </c>
      <c r="D93" s="48" t="s">
        <v>14</v>
      </c>
      <c r="E93" s="48">
        <v>1160</v>
      </c>
      <c r="F93" s="48" t="s">
        <v>13</v>
      </c>
      <c r="G93" s="48" t="s">
        <v>1</v>
      </c>
      <c r="H93" s="48" t="s">
        <v>3</v>
      </c>
      <c r="I93" s="47" t="s">
        <v>22</v>
      </c>
      <c r="J93" s="57">
        <v>46023</v>
      </c>
      <c r="K93" s="45">
        <v>168.32049319999999</v>
      </c>
      <c r="M93" s="5"/>
    </row>
    <row r="94" spans="1:13" x14ac:dyDescent="0.2">
      <c r="A94" s="8"/>
      <c r="C94" s="48">
        <v>1159</v>
      </c>
      <c r="D94" s="48" t="s">
        <v>14</v>
      </c>
      <c r="E94" s="48">
        <v>1160</v>
      </c>
      <c r="F94" s="48" t="s">
        <v>13</v>
      </c>
      <c r="G94" s="48" t="s">
        <v>1</v>
      </c>
      <c r="H94" s="48" t="s">
        <v>3</v>
      </c>
      <c r="I94" s="47" t="s">
        <v>21</v>
      </c>
      <c r="J94" s="57">
        <v>46023</v>
      </c>
      <c r="K94" s="45">
        <v>443.83328897600006</v>
      </c>
      <c r="M94" s="5"/>
    </row>
    <row r="95" spans="1:13" x14ac:dyDescent="0.2">
      <c r="A95" s="8"/>
      <c r="C95" s="48">
        <v>1159</v>
      </c>
      <c r="D95" s="48" t="s">
        <v>14</v>
      </c>
      <c r="E95" s="48">
        <v>1160</v>
      </c>
      <c r="F95" s="48" t="s">
        <v>13</v>
      </c>
      <c r="G95" s="48" t="s">
        <v>1</v>
      </c>
      <c r="H95" s="48" t="s">
        <v>3</v>
      </c>
      <c r="I95" s="47" t="s">
        <v>20</v>
      </c>
      <c r="J95" s="57">
        <v>46023</v>
      </c>
      <c r="K95" s="45">
        <v>504.35601020000001</v>
      </c>
      <c r="M95" s="5"/>
    </row>
    <row r="96" spans="1:13" x14ac:dyDescent="0.2">
      <c r="A96" s="8"/>
      <c r="C96" s="48">
        <v>1159</v>
      </c>
      <c r="D96" s="48" t="s">
        <v>14</v>
      </c>
      <c r="E96" s="48">
        <v>1160</v>
      </c>
      <c r="F96" s="48" t="s">
        <v>13</v>
      </c>
      <c r="G96" s="48" t="s">
        <v>1</v>
      </c>
      <c r="H96" s="48" t="s">
        <v>3</v>
      </c>
      <c r="I96" s="47" t="s">
        <v>19</v>
      </c>
      <c r="J96" s="57">
        <v>46023</v>
      </c>
      <c r="K96" s="45">
        <v>6054.6940000000004</v>
      </c>
      <c r="M96" s="5"/>
    </row>
    <row r="97" spans="1:13" x14ac:dyDescent="0.2">
      <c r="A97" s="8"/>
      <c r="C97" s="48">
        <v>1159</v>
      </c>
      <c r="D97" s="48" t="s">
        <v>14</v>
      </c>
      <c r="E97" s="48">
        <v>1160</v>
      </c>
      <c r="F97" s="48" t="s">
        <v>13</v>
      </c>
      <c r="G97" s="48" t="s">
        <v>1</v>
      </c>
      <c r="H97" s="48" t="s">
        <v>3</v>
      </c>
      <c r="I97" s="47" t="s">
        <v>18</v>
      </c>
      <c r="J97" s="57">
        <v>46023</v>
      </c>
      <c r="K97" s="45">
        <v>59431.319999999992</v>
      </c>
      <c r="M97" s="5"/>
    </row>
    <row r="98" spans="1:13" x14ac:dyDescent="0.2">
      <c r="A98" s="8"/>
      <c r="C98" s="48">
        <v>1159</v>
      </c>
      <c r="D98" s="48" t="s">
        <v>14</v>
      </c>
      <c r="E98" s="48">
        <v>1160</v>
      </c>
      <c r="F98" s="48" t="s">
        <v>13</v>
      </c>
      <c r="G98" s="48" t="s">
        <v>1</v>
      </c>
      <c r="H98" s="48" t="s">
        <v>3</v>
      </c>
      <c r="I98" s="47" t="s">
        <v>17</v>
      </c>
      <c r="J98" s="57">
        <v>46023</v>
      </c>
      <c r="K98" s="45">
        <v>157.68</v>
      </c>
      <c r="M98" s="5"/>
    </row>
    <row r="99" spans="1:13" x14ac:dyDescent="0.2">
      <c r="A99" s="8"/>
      <c r="C99" s="48">
        <v>1159</v>
      </c>
      <c r="D99" s="48" t="s">
        <v>14</v>
      </c>
      <c r="E99" s="48">
        <v>1160</v>
      </c>
      <c r="F99" s="48" t="s">
        <v>13</v>
      </c>
      <c r="G99" s="48" t="s">
        <v>1</v>
      </c>
      <c r="H99" s="48" t="s">
        <v>3</v>
      </c>
      <c r="I99" s="47" t="s">
        <v>12</v>
      </c>
      <c r="J99" s="57">
        <v>46023</v>
      </c>
      <c r="K99" s="45">
        <v>7560</v>
      </c>
      <c r="M99" s="5"/>
    </row>
    <row r="100" spans="1:13" x14ac:dyDescent="0.2">
      <c r="A100" s="8"/>
      <c r="C100" s="48">
        <v>1159</v>
      </c>
      <c r="D100" s="48" t="s">
        <v>14</v>
      </c>
      <c r="E100" s="48">
        <v>1160</v>
      </c>
      <c r="F100" s="48" t="s">
        <v>13</v>
      </c>
      <c r="G100" s="48" t="s">
        <v>1</v>
      </c>
      <c r="H100" s="48" t="s">
        <v>3</v>
      </c>
      <c r="I100" s="47" t="s">
        <v>16</v>
      </c>
      <c r="J100" s="57">
        <v>46023</v>
      </c>
      <c r="K100" s="45">
        <v>0</v>
      </c>
      <c r="M100" s="5"/>
    </row>
    <row r="101" spans="1:13" x14ac:dyDescent="0.2">
      <c r="C101" s="48">
        <v>1000</v>
      </c>
      <c r="D101" s="48" t="s">
        <v>70</v>
      </c>
      <c r="E101" s="48">
        <v>1003</v>
      </c>
      <c r="F101" s="48" t="s">
        <v>72</v>
      </c>
      <c r="G101" s="48" t="s">
        <v>1</v>
      </c>
      <c r="H101" s="48" t="s">
        <v>72</v>
      </c>
      <c r="I101" s="47" t="s">
        <v>74</v>
      </c>
      <c r="J101" s="57">
        <v>46054</v>
      </c>
      <c r="K101" s="45">
        <v>20000</v>
      </c>
      <c r="M101" s="5"/>
    </row>
    <row r="102" spans="1:13" x14ac:dyDescent="0.2">
      <c r="C102" s="48">
        <v>1000</v>
      </c>
      <c r="D102" s="48" t="s">
        <v>70</v>
      </c>
      <c r="E102" s="48">
        <v>1003</v>
      </c>
      <c r="F102" s="48" t="s">
        <v>72</v>
      </c>
      <c r="G102" s="48" t="s">
        <v>1</v>
      </c>
      <c r="H102" s="48" t="s">
        <v>72</v>
      </c>
      <c r="I102" s="47" t="s">
        <v>73</v>
      </c>
      <c r="J102" s="57">
        <v>46054</v>
      </c>
      <c r="K102" s="45">
        <v>600</v>
      </c>
      <c r="M102" s="5"/>
    </row>
    <row r="103" spans="1:13" x14ac:dyDescent="0.2">
      <c r="C103" s="48">
        <v>1000</v>
      </c>
      <c r="D103" s="48" t="s">
        <v>70</v>
      </c>
      <c r="E103" s="48">
        <v>1003</v>
      </c>
      <c r="F103" s="48" t="s">
        <v>72</v>
      </c>
      <c r="G103" s="48" t="s">
        <v>1</v>
      </c>
      <c r="H103" s="48" t="s">
        <v>72</v>
      </c>
      <c r="I103" s="47" t="s">
        <v>71</v>
      </c>
      <c r="J103" s="57">
        <v>46054</v>
      </c>
      <c r="K103" s="45">
        <v>5000</v>
      </c>
      <c r="M103" s="5"/>
    </row>
    <row r="104" spans="1:13" x14ac:dyDescent="0.2">
      <c r="C104" s="48">
        <v>1159</v>
      </c>
      <c r="D104" s="48" t="s">
        <v>14</v>
      </c>
      <c r="E104" s="48">
        <v>1150</v>
      </c>
      <c r="F104" s="48" t="s">
        <v>15</v>
      </c>
      <c r="G104" s="48" t="s">
        <v>1</v>
      </c>
      <c r="H104" s="48" t="s">
        <v>132</v>
      </c>
      <c r="I104" s="47" t="s">
        <v>43</v>
      </c>
      <c r="J104" s="57">
        <v>46054</v>
      </c>
      <c r="K104" s="45">
        <v>200</v>
      </c>
      <c r="M104" s="5"/>
    </row>
    <row r="105" spans="1:13" x14ac:dyDescent="0.2">
      <c r="C105" s="48">
        <v>1159</v>
      </c>
      <c r="D105" s="48" t="s">
        <v>14</v>
      </c>
      <c r="E105" s="48">
        <v>1150</v>
      </c>
      <c r="F105" s="48" t="s">
        <v>15</v>
      </c>
      <c r="G105" s="48" t="s">
        <v>1</v>
      </c>
      <c r="H105" s="48" t="s">
        <v>0</v>
      </c>
      <c r="I105" s="47" t="s">
        <v>51</v>
      </c>
      <c r="J105" s="57">
        <v>46054</v>
      </c>
      <c r="K105" s="45">
        <v>5000</v>
      </c>
      <c r="M105" s="5"/>
    </row>
    <row r="106" spans="1:13" x14ac:dyDescent="0.2">
      <c r="C106" s="48">
        <v>1159</v>
      </c>
      <c r="D106" s="48" t="s">
        <v>14</v>
      </c>
      <c r="E106" s="48">
        <v>1150</v>
      </c>
      <c r="F106" s="48" t="s">
        <v>15</v>
      </c>
      <c r="G106" s="48" t="s">
        <v>1</v>
      </c>
      <c r="H106" s="48" t="s">
        <v>0</v>
      </c>
      <c r="I106" s="47" t="s">
        <v>447</v>
      </c>
      <c r="J106" s="57">
        <v>46054</v>
      </c>
      <c r="K106" s="45">
        <v>3023.6305000000002</v>
      </c>
      <c r="M106" s="5"/>
    </row>
    <row r="107" spans="1:13" x14ac:dyDescent="0.2">
      <c r="C107" s="48">
        <v>1159</v>
      </c>
      <c r="D107" s="48" t="s">
        <v>14</v>
      </c>
      <c r="E107" s="48">
        <v>1150</v>
      </c>
      <c r="F107" s="48" t="s">
        <v>15</v>
      </c>
      <c r="G107" s="48" t="s">
        <v>1</v>
      </c>
      <c r="H107" s="48" t="s">
        <v>66</v>
      </c>
      <c r="I107" s="47" t="s">
        <v>67</v>
      </c>
      <c r="J107" s="57">
        <v>46054</v>
      </c>
      <c r="K107" s="45">
        <v>140000</v>
      </c>
      <c r="M107" s="5"/>
    </row>
    <row r="108" spans="1:13" x14ac:dyDescent="0.2">
      <c r="C108" s="48">
        <v>1159</v>
      </c>
      <c r="D108" s="48" t="s">
        <v>14</v>
      </c>
      <c r="E108" s="48">
        <v>1150</v>
      </c>
      <c r="F108" s="48" t="s">
        <v>15</v>
      </c>
      <c r="G108" s="48" t="s">
        <v>1</v>
      </c>
      <c r="H108" s="48" t="s">
        <v>66</v>
      </c>
      <c r="I108" s="47" t="s">
        <v>68</v>
      </c>
      <c r="J108" s="57">
        <v>46054</v>
      </c>
      <c r="K108" s="45">
        <v>150000</v>
      </c>
      <c r="M108" s="5"/>
    </row>
    <row r="109" spans="1:13" x14ac:dyDescent="0.2">
      <c r="C109" s="48">
        <v>1159</v>
      </c>
      <c r="D109" s="48" t="s">
        <v>14</v>
      </c>
      <c r="E109" s="48">
        <v>1150</v>
      </c>
      <c r="F109" s="48" t="s">
        <v>15</v>
      </c>
      <c r="G109" s="48" t="s">
        <v>1</v>
      </c>
      <c r="H109" s="48" t="s">
        <v>66</v>
      </c>
      <c r="I109" s="47" t="s">
        <v>69</v>
      </c>
      <c r="J109" s="57">
        <v>46054</v>
      </c>
      <c r="K109" s="45">
        <v>15000</v>
      </c>
      <c r="M109" s="5"/>
    </row>
    <row r="110" spans="1:13" x14ac:dyDescent="0.2">
      <c r="C110" s="48">
        <v>1159</v>
      </c>
      <c r="D110" s="48" t="s">
        <v>14</v>
      </c>
      <c r="E110" s="48">
        <v>1150</v>
      </c>
      <c r="F110" s="48" t="s">
        <v>15</v>
      </c>
      <c r="G110" s="48" t="s">
        <v>1</v>
      </c>
      <c r="H110" s="48" t="s">
        <v>66</v>
      </c>
      <c r="I110" s="47" t="s">
        <v>65</v>
      </c>
      <c r="J110" s="57">
        <v>46054</v>
      </c>
      <c r="K110" s="45">
        <v>24671.843625000001</v>
      </c>
      <c r="M110" s="5"/>
    </row>
    <row r="111" spans="1:13" x14ac:dyDescent="0.2">
      <c r="C111" s="48">
        <v>1159</v>
      </c>
      <c r="D111" s="48" t="s">
        <v>14</v>
      </c>
      <c r="E111" s="48">
        <v>1150</v>
      </c>
      <c r="F111" s="48" t="s">
        <v>15</v>
      </c>
      <c r="G111" s="48" t="s">
        <v>1</v>
      </c>
      <c r="H111" s="48" t="s">
        <v>46</v>
      </c>
      <c r="I111" s="47" t="s">
        <v>48</v>
      </c>
      <c r="J111" s="57">
        <v>46054</v>
      </c>
      <c r="K111" s="45">
        <v>2000</v>
      </c>
      <c r="M111" s="5"/>
    </row>
    <row r="112" spans="1:13" x14ac:dyDescent="0.2">
      <c r="C112" s="48">
        <v>1159</v>
      </c>
      <c r="D112" s="48" t="s">
        <v>14</v>
      </c>
      <c r="E112" s="48">
        <v>1150</v>
      </c>
      <c r="F112" s="48" t="s">
        <v>15</v>
      </c>
      <c r="G112" s="48" t="s">
        <v>1</v>
      </c>
      <c r="H112" s="48" t="s">
        <v>41</v>
      </c>
      <c r="I112" s="47" t="s">
        <v>40</v>
      </c>
      <c r="J112" s="57">
        <v>46054</v>
      </c>
      <c r="K112" s="45">
        <v>74.944374999999994</v>
      </c>
      <c r="M112" s="5"/>
    </row>
    <row r="113" spans="3:13" x14ac:dyDescent="0.2">
      <c r="C113" s="48">
        <v>1159</v>
      </c>
      <c r="D113" s="48" t="s">
        <v>14</v>
      </c>
      <c r="E113" s="48">
        <v>1150</v>
      </c>
      <c r="F113" s="48" t="s">
        <v>15</v>
      </c>
      <c r="G113" s="48" t="s">
        <v>1</v>
      </c>
      <c r="H113" s="48" t="s">
        <v>132</v>
      </c>
      <c r="I113" s="47" t="s">
        <v>47</v>
      </c>
      <c r="J113" s="57">
        <v>46054</v>
      </c>
      <c r="K113" s="45">
        <v>120</v>
      </c>
      <c r="M113" s="5"/>
    </row>
    <row r="114" spans="3:13" x14ac:dyDescent="0.2">
      <c r="C114" s="48">
        <v>1159</v>
      </c>
      <c r="D114" s="48" t="s">
        <v>14</v>
      </c>
      <c r="E114" s="48">
        <v>1150</v>
      </c>
      <c r="F114" s="48" t="s">
        <v>15</v>
      </c>
      <c r="G114" s="48" t="s">
        <v>1</v>
      </c>
      <c r="H114" s="48" t="s">
        <v>46</v>
      </c>
      <c r="I114" s="47" t="s">
        <v>64</v>
      </c>
      <c r="J114" s="57">
        <v>46054</v>
      </c>
      <c r="K114" s="45"/>
      <c r="M114" s="5"/>
    </row>
    <row r="115" spans="3:13" x14ac:dyDescent="0.2">
      <c r="C115" s="48">
        <v>1159</v>
      </c>
      <c r="D115" s="48" t="s">
        <v>14</v>
      </c>
      <c r="E115" s="48">
        <v>1150</v>
      </c>
      <c r="F115" s="48" t="s">
        <v>15</v>
      </c>
      <c r="G115" s="48" t="s">
        <v>1</v>
      </c>
      <c r="H115" s="48" t="s">
        <v>46</v>
      </c>
      <c r="I115" s="47" t="s">
        <v>63</v>
      </c>
      <c r="J115" s="57">
        <v>46054</v>
      </c>
      <c r="K115" s="45"/>
      <c r="M115" s="5"/>
    </row>
    <row r="116" spans="3:13" x14ac:dyDescent="0.2">
      <c r="C116" s="48">
        <v>1159</v>
      </c>
      <c r="D116" s="48" t="s">
        <v>14</v>
      </c>
      <c r="E116" s="48">
        <v>1150</v>
      </c>
      <c r="F116" s="48" t="s">
        <v>15</v>
      </c>
      <c r="G116" s="48" t="s">
        <v>1</v>
      </c>
      <c r="H116" s="48" t="s">
        <v>46</v>
      </c>
      <c r="I116" s="47" t="s">
        <v>444</v>
      </c>
      <c r="J116" s="57">
        <v>46054</v>
      </c>
      <c r="K116" s="45">
        <v>200</v>
      </c>
      <c r="M116" s="5"/>
    </row>
    <row r="117" spans="3:13" x14ac:dyDescent="0.2">
      <c r="C117" s="48">
        <v>1159</v>
      </c>
      <c r="D117" s="48" t="s">
        <v>14</v>
      </c>
      <c r="E117" s="48">
        <v>1150</v>
      </c>
      <c r="F117" s="48" t="s">
        <v>15</v>
      </c>
      <c r="G117" s="48" t="s">
        <v>1</v>
      </c>
      <c r="H117" s="48" t="s">
        <v>66</v>
      </c>
      <c r="I117" s="47" t="s">
        <v>65</v>
      </c>
      <c r="J117" s="57">
        <v>46054</v>
      </c>
      <c r="K117" s="45">
        <v>10000</v>
      </c>
      <c r="M117" s="5"/>
    </row>
    <row r="118" spans="3:13" x14ac:dyDescent="0.2">
      <c r="C118" s="48">
        <v>1159</v>
      </c>
      <c r="D118" s="48" t="s">
        <v>14</v>
      </c>
      <c r="E118" s="48">
        <v>1159</v>
      </c>
      <c r="F118" s="48" t="s">
        <v>14</v>
      </c>
      <c r="G118" s="48" t="s">
        <v>1</v>
      </c>
      <c r="H118" s="48" t="s">
        <v>132</v>
      </c>
      <c r="I118" s="47" t="s">
        <v>43</v>
      </c>
      <c r="J118" s="57">
        <v>46054</v>
      </c>
      <c r="K118" s="45">
        <v>37.5</v>
      </c>
      <c r="M118" s="5"/>
    </row>
    <row r="119" spans="3:13" x14ac:dyDescent="0.2">
      <c r="C119" s="48">
        <v>1159</v>
      </c>
      <c r="D119" s="48" t="s">
        <v>14</v>
      </c>
      <c r="E119" s="48">
        <v>1159</v>
      </c>
      <c r="F119" s="48" t="s">
        <v>14</v>
      </c>
      <c r="G119" s="48" t="s">
        <v>1</v>
      </c>
      <c r="H119" s="48" t="s">
        <v>50</v>
      </c>
      <c r="I119" s="47" t="s">
        <v>49</v>
      </c>
      <c r="J119" s="57">
        <v>46054</v>
      </c>
      <c r="K119" s="45">
        <v>524.68212500000004</v>
      </c>
      <c r="M119" s="5"/>
    </row>
    <row r="120" spans="3:13" x14ac:dyDescent="0.2">
      <c r="C120" s="48">
        <v>1159</v>
      </c>
      <c r="D120" s="48" t="s">
        <v>14</v>
      </c>
      <c r="E120" s="48">
        <v>1159</v>
      </c>
      <c r="F120" s="48" t="s">
        <v>14</v>
      </c>
      <c r="G120" s="48" t="s">
        <v>1</v>
      </c>
      <c r="H120" s="48" t="s">
        <v>66</v>
      </c>
      <c r="I120" s="47" t="s">
        <v>65</v>
      </c>
      <c r="J120" s="57">
        <v>46054</v>
      </c>
      <c r="K120" s="45">
        <v>182.87500000000003</v>
      </c>
      <c r="M120" s="5"/>
    </row>
    <row r="121" spans="3:13" x14ac:dyDescent="0.2">
      <c r="C121" s="48">
        <v>1159</v>
      </c>
      <c r="D121" s="48" t="s">
        <v>14</v>
      </c>
      <c r="E121" s="48">
        <v>1159</v>
      </c>
      <c r="F121" s="48" t="s">
        <v>14</v>
      </c>
      <c r="G121" s="48" t="s">
        <v>1</v>
      </c>
      <c r="H121" s="48" t="s">
        <v>57</v>
      </c>
      <c r="I121" s="47" t="s">
        <v>60</v>
      </c>
      <c r="J121" s="57">
        <v>46054</v>
      </c>
      <c r="K121" s="45">
        <v>2402.321625</v>
      </c>
      <c r="M121" s="5"/>
    </row>
    <row r="122" spans="3:13" x14ac:dyDescent="0.2">
      <c r="C122" s="48">
        <v>1159</v>
      </c>
      <c r="D122" s="48" t="s">
        <v>14</v>
      </c>
      <c r="E122" s="48">
        <v>1159</v>
      </c>
      <c r="F122" s="48" t="s">
        <v>14</v>
      </c>
      <c r="G122" s="48" t="s">
        <v>1</v>
      </c>
      <c r="H122" s="48" t="s">
        <v>57</v>
      </c>
      <c r="I122" s="47" t="s">
        <v>59</v>
      </c>
      <c r="J122" s="57">
        <v>46054</v>
      </c>
      <c r="K122" s="45">
        <v>6544.64</v>
      </c>
      <c r="M122" s="5"/>
    </row>
    <row r="123" spans="3:13" x14ac:dyDescent="0.2">
      <c r="C123" s="48">
        <v>1159</v>
      </c>
      <c r="D123" s="48" t="s">
        <v>14</v>
      </c>
      <c r="E123" s="48">
        <v>1159</v>
      </c>
      <c r="F123" s="48" t="s">
        <v>14</v>
      </c>
      <c r="G123" s="48" t="s">
        <v>1</v>
      </c>
      <c r="H123" s="48" t="s">
        <v>57</v>
      </c>
      <c r="I123" s="47" t="s">
        <v>453</v>
      </c>
      <c r="J123" s="57">
        <v>46054</v>
      </c>
      <c r="K123" s="45"/>
      <c r="M123" s="5"/>
    </row>
    <row r="124" spans="3:13" x14ac:dyDescent="0.2">
      <c r="C124" s="48">
        <v>1159</v>
      </c>
      <c r="D124" s="48" t="s">
        <v>14</v>
      </c>
      <c r="E124" s="48">
        <v>1159</v>
      </c>
      <c r="F124" s="48" t="s">
        <v>14</v>
      </c>
      <c r="G124" s="48" t="s">
        <v>1</v>
      </c>
      <c r="H124" s="48" t="s">
        <v>41</v>
      </c>
      <c r="I124" s="47" t="s">
        <v>55</v>
      </c>
      <c r="J124" s="57">
        <v>46054</v>
      </c>
      <c r="K124" s="45">
        <v>6000</v>
      </c>
      <c r="M124" s="5"/>
    </row>
    <row r="125" spans="3:13" x14ac:dyDescent="0.2">
      <c r="C125" s="48">
        <v>1159</v>
      </c>
      <c r="D125" s="48" t="s">
        <v>14</v>
      </c>
      <c r="E125" s="48">
        <v>1159</v>
      </c>
      <c r="F125" s="48" t="s">
        <v>14</v>
      </c>
      <c r="G125" s="48" t="s">
        <v>1</v>
      </c>
      <c r="H125" s="48" t="s">
        <v>41</v>
      </c>
      <c r="I125" s="47" t="s">
        <v>138</v>
      </c>
      <c r="J125" s="57">
        <v>46054</v>
      </c>
      <c r="K125" s="45">
        <v>6000</v>
      </c>
      <c r="M125" s="5"/>
    </row>
    <row r="126" spans="3:13" x14ac:dyDescent="0.2">
      <c r="C126" s="48">
        <v>1159</v>
      </c>
      <c r="D126" s="48" t="s">
        <v>14</v>
      </c>
      <c r="E126" s="48">
        <v>1159</v>
      </c>
      <c r="F126" s="48" t="s">
        <v>14</v>
      </c>
      <c r="G126" s="48" t="s">
        <v>1</v>
      </c>
      <c r="H126" s="48" t="s">
        <v>57</v>
      </c>
      <c r="I126" s="47" t="s">
        <v>56</v>
      </c>
      <c r="J126" s="57">
        <v>46054</v>
      </c>
      <c r="K126" s="45">
        <v>891.80850000000021</v>
      </c>
      <c r="M126" s="5"/>
    </row>
    <row r="127" spans="3:13" x14ac:dyDescent="0.2">
      <c r="C127" s="48">
        <v>1159</v>
      </c>
      <c r="D127" s="48" t="s">
        <v>14</v>
      </c>
      <c r="E127" s="48">
        <v>1159</v>
      </c>
      <c r="F127" s="48" t="s">
        <v>14</v>
      </c>
      <c r="G127" s="48" t="s">
        <v>1</v>
      </c>
      <c r="H127" s="48" t="s">
        <v>41</v>
      </c>
      <c r="I127" s="47" t="s">
        <v>52</v>
      </c>
      <c r="J127" s="57">
        <v>46054</v>
      </c>
      <c r="K127" s="45">
        <v>1000</v>
      </c>
      <c r="M127" s="5"/>
    </row>
    <row r="128" spans="3:13" x14ac:dyDescent="0.2">
      <c r="C128" s="48">
        <v>1159</v>
      </c>
      <c r="D128" s="48" t="s">
        <v>14</v>
      </c>
      <c r="E128" s="48">
        <v>1159</v>
      </c>
      <c r="F128" s="48" t="s">
        <v>14</v>
      </c>
      <c r="G128" s="48" t="s">
        <v>1</v>
      </c>
      <c r="H128" s="48" t="s">
        <v>41</v>
      </c>
      <c r="I128" s="47" t="s">
        <v>40</v>
      </c>
      <c r="J128" s="57">
        <v>46054</v>
      </c>
      <c r="K128" s="45">
        <v>600</v>
      </c>
      <c r="M128" s="5"/>
    </row>
    <row r="129" spans="3:13" x14ac:dyDescent="0.2">
      <c r="C129" s="48">
        <v>1159</v>
      </c>
      <c r="D129" s="48" t="s">
        <v>14</v>
      </c>
      <c r="E129" s="48">
        <v>1160</v>
      </c>
      <c r="F129" s="48" t="s">
        <v>13</v>
      </c>
      <c r="G129" s="48" t="s">
        <v>1</v>
      </c>
      <c r="H129" s="48" t="s">
        <v>132</v>
      </c>
      <c r="I129" s="47" t="s">
        <v>43</v>
      </c>
      <c r="J129" s="57">
        <v>46054</v>
      </c>
      <c r="K129" s="45">
        <v>137.5</v>
      </c>
      <c r="M129" s="5"/>
    </row>
    <row r="130" spans="3:13" x14ac:dyDescent="0.2">
      <c r="C130" s="48">
        <v>1159</v>
      </c>
      <c r="D130" s="48" t="s">
        <v>14</v>
      </c>
      <c r="E130" s="48">
        <v>1160</v>
      </c>
      <c r="F130" s="48" t="s">
        <v>13</v>
      </c>
      <c r="G130" s="48" t="s">
        <v>1</v>
      </c>
      <c r="H130" s="48" t="s">
        <v>0</v>
      </c>
      <c r="I130" s="47" t="s">
        <v>51</v>
      </c>
      <c r="J130" s="57">
        <v>46054</v>
      </c>
      <c r="K130" s="45">
        <v>25000</v>
      </c>
      <c r="M130" s="5"/>
    </row>
    <row r="131" spans="3:13" x14ac:dyDescent="0.2">
      <c r="C131" s="48">
        <v>1159</v>
      </c>
      <c r="D131" s="48" t="s">
        <v>14</v>
      </c>
      <c r="E131" s="48">
        <v>1160</v>
      </c>
      <c r="F131" s="48" t="s">
        <v>13</v>
      </c>
      <c r="G131" s="48" t="s">
        <v>1</v>
      </c>
      <c r="H131" s="48" t="s">
        <v>66</v>
      </c>
      <c r="I131" s="47" t="s">
        <v>68</v>
      </c>
      <c r="J131" s="57">
        <v>46054</v>
      </c>
      <c r="K131" s="45">
        <v>10000</v>
      </c>
      <c r="M131" s="5"/>
    </row>
    <row r="132" spans="3:13" x14ac:dyDescent="0.2">
      <c r="C132" s="48">
        <v>1159</v>
      </c>
      <c r="D132" s="48" t="s">
        <v>14</v>
      </c>
      <c r="E132" s="48">
        <v>1160</v>
      </c>
      <c r="F132" s="48" t="s">
        <v>13</v>
      </c>
      <c r="G132" s="48" t="s">
        <v>1</v>
      </c>
      <c r="H132" s="48" t="s">
        <v>66</v>
      </c>
      <c r="I132" s="47" t="s">
        <v>67</v>
      </c>
      <c r="J132" s="57">
        <v>46054</v>
      </c>
      <c r="K132" s="45">
        <v>7000</v>
      </c>
      <c r="M132" s="5"/>
    </row>
    <row r="133" spans="3:13" x14ac:dyDescent="0.2">
      <c r="C133" s="48">
        <v>1159</v>
      </c>
      <c r="D133" s="48" t="s">
        <v>14</v>
      </c>
      <c r="E133" s="48">
        <v>1160</v>
      </c>
      <c r="F133" s="48" t="s">
        <v>13</v>
      </c>
      <c r="G133" s="48" t="s">
        <v>1</v>
      </c>
      <c r="H133" s="48" t="s">
        <v>66</v>
      </c>
      <c r="I133" s="47" t="s">
        <v>65</v>
      </c>
      <c r="J133" s="57">
        <v>46054</v>
      </c>
      <c r="K133" s="45">
        <v>5000</v>
      </c>
      <c r="L133" s="3"/>
      <c r="M133" s="3"/>
    </row>
    <row r="134" spans="3:13" x14ac:dyDescent="0.2">
      <c r="C134" s="48">
        <v>1159</v>
      </c>
      <c r="D134" s="48" t="s">
        <v>14</v>
      </c>
      <c r="E134" s="48">
        <v>1160</v>
      </c>
      <c r="F134" s="48" t="s">
        <v>13</v>
      </c>
      <c r="G134" s="48" t="s">
        <v>1</v>
      </c>
      <c r="H134" s="48" t="s">
        <v>46</v>
      </c>
      <c r="I134" s="47" t="s">
        <v>48</v>
      </c>
      <c r="J134" s="57">
        <v>46054</v>
      </c>
      <c r="K134" s="45">
        <v>21000</v>
      </c>
    </row>
    <row r="135" spans="3:13" x14ac:dyDescent="0.2">
      <c r="C135" s="48">
        <v>1159</v>
      </c>
      <c r="D135" s="48" t="s">
        <v>14</v>
      </c>
      <c r="E135" s="48">
        <v>1160</v>
      </c>
      <c r="F135" s="48" t="s">
        <v>13</v>
      </c>
      <c r="G135" s="48" t="s">
        <v>1</v>
      </c>
      <c r="H135" s="48" t="s">
        <v>41</v>
      </c>
      <c r="I135" s="47" t="s">
        <v>40</v>
      </c>
      <c r="J135" s="57">
        <v>46054</v>
      </c>
      <c r="K135" s="45">
        <v>300</v>
      </c>
    </row>
    <row r="136" spans="3:13" x14ac:dyDescent="0.2">
      <c r="C136" s="48">
        <v>1159</v>
      </c>
      <c r="D136" s="48" t="s">
        <v>14</v>
      </c>
      <c r="E136" s="48">
        <v>1150</v>
      </c>
      <c r="F136" s="48" t="s">
        <v>15</v>
      </c>
      <c r="G136" s="48" t="s">
        <v>1</v>
      </c>
      <c r="H136" s="48" t="s">
        <v>3</v>
      </c>
      <c r="I136" s="47" t="s">
        <v>39</v>
      </c>
      <c r="J136" s="57">
        <v>46054</v>
      </c>
      <c r="K136" s="45">
        <v>2065.9478260000001</v>
      </c>
    </row>
    <row r="137" spans="3:13" x14ac:dyDescent="0.2">
      <c r="C137" s="48">
        <v>1159</v>
      </c>
      <c r="D137" s="48" t="s">
        <v>14</v>
      </c>
      <c r="E137" s="48">
        <v>1150</v>
      </c>
      <c r="F137" s="48" t="s">
        <v>15</v>
      </c>
      <c r="G137" s="48" t="s">
        <v>1</v>
      </c>
      <c r="H137" s="48" t="s">
        <v>3</v>
      </c>
      <c r="I137" s="47" t="s">
        <v>32</v>
      </c>
      <c r="J137" s="57">
        <v>46054</v>
      </c>
      <c r="K137" s="45">
        <v>6190.4120109999985</v>
      </c>
    </row>
    <row r="138" spans="3:13" x14ac:dyDescent="0.2">
      <c r="C138" s="48">
        <v>1159</v>
      </c>
      <c r="D138" s="48" t="s">
        <v>14</v>
      </c>
      <c r="E138" s="48">
        <v>1150</v>
      </c>
      <c r="F138" s="48" t="s">
        <v>15</v>
      </c>
      <c r="G138" s="48" t="s">
        <v>1</v>
      </c>
      <c r="H138" s="48" t="s">
        <v>3</v>
      </c>
      <c r="I138" s="47" t="s">
        <v>42</v>
      </c>
      <c r="J138" s="57">
        <v>46054</v>
      </c>
      <c r="K138" s="45">
        <v>0</v>
      </c>
    </row>
    <row r="139" spans="3:13" x14ac:dyDescent="0.2">
      <c r="C139" s="48">
        <v>1159</v>
      </c>
      <c r="D139" s="48" t="s">
        <v>14</v>
      </c>
      <c r="E139" s="48">
        <v>1150</v>
      </c>
      <c r="F139" s="48" t="s">
        <v>15</v>
      </c>
      <c r="G139" s="48" t="s">
        <v>1</v>
      </c>
      <c r="H139" s="48" t="s">
        <v>3</v>
      </c>
      <c r="I139" s="47" t="s">
        <v>442</v>
      </c>
      <c r="J139" s="57">
        <v>46054</v>
      </c>
      <c r="K139" s="45">
        <v>9380.2799999999988</v>
      </c>
    </row>
    <row r="140" spans="3:13" x14ac:dyDescent="0.2">
      <c r="C140" s="48">
        <v>1159</v>
      </c>
      <c r="D140" s="48" t="s">
        <v>14</v>
      </c>
      <c r="E140" s="48">
        <v>1150</v>
      </c>
      <c r="F140" s="48" t="s">
        <v>15</v>
      </c>
      <c r="G140" s="48" t="s">
        <v>1</v>
      </c>
      <c r="H140" s="48" t="s">
        <v>3</v>
      </c>
      <c r="I140" s="47" t="s">
        <v>30</v>
      </c>
      <c r="J140" s="57">
        <v>46054</v>
      </c>
      <c r="K140" s="45">
        <v>375.18000000000006</v>
      </c>
    </row>
    <row r="141" spans="3:13" x14ac:dyDescent="0.2">
      <c r="C141" s="48">
        <v>1159</v>
      </c>
      <c r="D141" s="48" t="s">
        <v>14</v>
      </c>
      <c r="E141" s="48">
        <v>1150</v>
      </c>
      <c r="F141" s="48" t="s">
        <v>15</v>
      </c>
      <c r="G141" s="48" t="s">
        <v>1</v>
      </c>
      <c r="H141" s="48" t="s">
        <v>3</v>
      </c>
      <c r="I141" s="47" t="s">
        <v>29</v>
      </c>
      <c r="J141" s="57">
        <v>46054</v>
      </c>
      <c r="K141" s="45">
        <v>0</v>
      </c>
    </row>
    <row r="142" spans="3:13" x14ac:dyDescent="0.2">
      <c r="C142" s="48">
        <v>1159</v>
      </c>
      <c r="D142" s="48" t="s">
        <v>14</v>
      </c>
      <c r="E142" s="48">
        <v>1150</v>
      </c>
      <c r="F142" s="48" t="s">
        <v>15</v>
      </c>
      <c r="G142" s="48" t="s">
        <v>1</v>
      </c>
      <c r="H142" s="48" t="s">
        <v>3</v>
      </c>
      <c r="I142" s="47" t="s">
        <v>28</v>
      </c>
      <c r="J142" s="57">
        <v>46054</v>
      </c>
      <c r="K142" s="45">
        <v>0</v>
      </c>
    </row>
    <row r="143" spans="3:13" x14ac:dyDescent="0.2">
      <c r="C143" s="48">
        <v>1159</v>
      </c>
      <c r="D143" s="48" t="s">
        <v>14</v>
      </c>
      <c r="E143" s="48">
        <v>1150</v>
      </c>
      <c r="F143" s="48" t="s">
        <v>15</v>
      </c>
      <c r="G143" s="48" t="s">
        <v>1</v>
      </c>
      <c r="H143" s="48" t="s">
        <v>3</v>
      </c>
      <c r="I143" s="47" t="s">
        <v>27</v>
      </c>
      <c r="J143" s="57">
        <v>46054</v>
      </c>
      <c r="K143" s="45">
        <v>5945.1736000000001</v>
      </c>
    </row>
    <row r="144" spans="3:13" x14ac:dyDescent="0.2">
      <c r="C144" s="48">
        <v>1159</v>
      </c>
      <c r="D144" s="48" t="s">
        <v>14</v>
      </c>
      <c r="E144" s="48">
        <v>1150</v>
      </c>
      <c r="F144" s="48" t="s">
        <v>15</v>
      </c>
      <c r="G144" s="48" t="s">
        <v>1</v>
      </c>
      <c r="H144" s="48" t="s">
        <v>3</v>
      </c>
      <c r="I144" s="47" t="s">
        <v>26</v>
      </c>
      <c r="J144" s="57">
        <v>46054</v>
      </c>
      <c r="K144" s="45">
        <v>165.27582608</v>
      </c>
    </row>
    <row r="145" spans="3:11" x14ac:dyDescent="0.2">
      <c r="C145" s="48">
        <v>1159</v>
      </c>
      <c r="D145" s="48" t="s">
        <v>14</v>
      </c>
      <c r="E145" s="48">
        <v>1150</v>
      </c>
      <c r="F145" s="48" t="s">
        <v>15</v>
      </c>
      <c r="G145" s="48" t="s">
        <v>1</v>
      </c>
      <c r="H145" s="48" t="s">
        <v>3</v>
      </c>
      <c r="I145" s="47" t="s">
        <v>25</v>
      </c>
      <c r="J145" s="57">
        <v>46054</v>
      </c>
      <c r="K145" s="45">
        <v>495.23296088000006</v>
      </c>
    </row>
    <row r="146" spans="3:11" x14ac:dyDescent="0.2">
      <c r="C146" s="48">
        <v>1159</v>
      </c>
      <c r="D146" s="48" t="s">
        <v>14</v>
      </c>
      <c r="E146" s="48">
        <v>1150</v>
      </c>
      <c r="F146" s="48" t="s">
        <v>15</v>
      </c>
      <c r="G146" s="48" t="s">
        <v>1</v>
      </c>
      <c r="H146" s="48" t="s">
        <v>3</v>
      </c>
      <c r="I146" s="47" t="s">
        <v>24</v>
      </c>
      <c r="J146" s="57">
        <v>46054</v>
      </c>
      <c r="K146" s="45">
        <v>6539.6909600000008</v>
      </c>
    </row>
    <row r="147" spans="3:11" x14ac:dyDescent="0.2">
      <c r="C147" s="48">
        <v>1159</v>
      </c>
      <c r="D147" s="48" t="s">
        <v>14</v>
      </c>
      <c r="E147" s="48">
        <v>1150</v>
      </c>
      <c r="F147" s="48" t="s">
        <v>15</v>
      </c>
      <c r="G147" s="48" t="s">
        <v>1</v>
      </c>
      <c r="H147" s="48" t="s">
        <v>3</v>
      </c>
      <c r="I147" s="47" t="s">
        <v>23</v>
      </c>
      <c r="J147" s="57">
        <v>46054</v>
      </c>
      <c r="K147" s="45">
        <v>181.80340868800002</v>
      </c>
    </row>
    <row r="148" spans="3:11" x14ac:dyDescent="0.2">
      <c r="C148" s="48">
        <v>1159</v>
      </c>
      <c r="D148" s="48" t="s">
        <v>14</v>
      </c>
      <c r="E148" s="48">
        <v>1150</v>
      </c>
      <c r="F148" s="48" t="s">
        <v>15</v>
      </c>
      <c r="G148" s="48" t="s">
        <v>1</v>
      </c>
      <c r="H148" s="48" t="s">
        <v>3</v>
      </c>
      <c r="I148" s="47" t="s">
        <v>22</v>
      </c>
      <c r="J148" s="57">
        <v>46054</v>
      </c>
      <c r="K148" s="45">
        <v>206.5947826</v>
      </c>
    </row>
    <row r="149" spans="3:11" x14ac:dyDescent="0.2">
      <c r="C149" s="48">
        <v>1159</v>
      </c>
      <c r="D149" s="48" t="s">
        <v>14</v>
      </c>
      <c r="E149" s="48">
        <v>1150</v>
      </c>
      <c r="F149" s="48" t="s">
        <v>15</v>
      </c>
      <c r="G149" s="48" t="s">
        <v>1</v>
      </c>
      <c r="H149" s="48" t="s">
        <v>3</v>
      </c>
      <c r="I149" s="47" t="s">
        <v>21</v>
      </c>
      <c r="J149" s="57">
        <v>46054</v>
      </c>
      <c r="K149" s="45">
        <v>544.756256968</v>
      </c>
    </row>
    <row r="150" spans="3:11" x14ac:dyDescent="0.2">
      <c r="C150" s="48">
        <v>1159</v>
      </c>
      <c r="D150" s="48" t="s">
        <v>14</v>
      </c>
      <c r="E150" s="48">
        <v>1150</v>
      </c>
      <c r="F150" s="48" t="s">
        <v>15</v>
      </c>
      <c r="G150" s="48" t="s">
        <v>1</v>
      </c>
      <c r="H150" s="48" t="s">
        <v>3</v>
      </c>
      <c r="I150" s="47" t="s">
        <v>20</v>
      </c>
      <c r="J150" s="57">
        <v>46054</v>
      </c>
      <c r="K150" s="45">
        <v>619.04120110000008</v>
      </c>
    </row>
    <row r="151" spans="3:11" x14ac:dyDescent="0.2">
      <c r="C151" s="48">
        <v>1159</v>
      </c>
      <c r="D151" s="48" t="s">
        <v>14</v>
      </c>
      <c r="E151" s="48">
        <v>1150</v>
      </c>
      <c r="F151" s="48" t="s">
        <v>15</v>
      </c>
      <c r="G151" s="48" t="s">
        <v>1</v>
      </c>
      <c r="H151" s="48" t="s">
        <v>3</v>
      </c>
      <c r="I151" s="47" t="s">
        <v>19</v>
      </c>
      <c r="J151" s="57">
        <v>46054</v>
      </c>
      <c r="K151" s="45">
        <v>7431.4670000000006</v>
      </c>
    </row>
    <row r="152" spans="3:11" x14ac:dyDescent="0.2">
      <c r="C152" s="48">
        <v>1159</v>
      </c>
      <c r="D152" s="48" t="s">
        <v>14</v>
      </c>
      <c r="E152" s="48">
        <v>1150</v>
      </c>
      <c r="F152" s="48" t="s">
        <v>15</v>
      </c>
      <c r="G152" s="48" t="s">
        <v>1</v>
      </c>
      <c r="H152" s="48" t="s">
        <v>3</v>
      </c>
      <c r="I152" s="47" t="s">
        <v>18</v>
      </c>
      <c r="J152" s="57">
        <v>46054</v>
      </c>
      <c r="K152" s="45">
        <v>72484.428199999995</v>
      </c>
    </row>
    <row r="153" spans="3:11" x14ac:dyDescent="0.2">
      <c r="C153" s="48">
        <v>1159</v>
      </c>
      <c r="D153" s="48" t="s">
        <v>14</v>
      </c>
      <c r="E153" s="48">
        <v>1150</v>
      </c>
      <c r="F153" s="48" t="s">
        <v>15</v>
      </c>
      <c r="G153" s="48" t="s">
        <v>1</v>
      </c>
      <c r="H153" s="48" t="s">
        <v>3</v>
      </c>
      <c r="I153" s="47" t="s">
        <v>17</v>
      </c>
      <c r="J153" s="57">
        <v>46054</v>
      </c>
      <c r="K153" s="45">
        <v>210.24000000000004</v>
      </c>
    </row>
    <row r="154" spans="3:11" x14ac:dyDescent="0.2">
      <c r="C154" s="48">
        <v>1159</v>
      </c>
      <c r="D154" s="48" t="s">
        <v>14</v>
      </c>
      <c r="E154" s="48">
        <v>1150</v>
      </c>
      <c r="F154" s="48" t="s">
        <v>15</v>
      </c>
      <c r="G154" s="48" t="s">
        <v>1</v>
      </c>
      <c r="H154" s="48" t="s">
        <v>3</v>
      </c>
      <c r="I154" s="47" t="s">
        <v>12</v>
      </c>
      <c r="J154" s="57">
        <v>46054</v>
      </c>
      <c r="K154" s="45">
        <v>9975</v>
      </c>
    </row>
    <row r="155" spans="3:11" x14ac:dyDescent="0.2">
      <c r="C155" s="48">
        <v>1159</v>
      </c>
      <c r="D155" s="48" t="s">
        <v>14</v>
      </c>
      <c r="E155" s="48">
        <v>1150</v>
      </c>
      <c r="F155" s="48" t="s">
        <v>15</v>
      </c>
      <c r="G155" s="48" t="s">
        <v>1</v>
      </c>
      <c r="H155" s="48" t="s">
        <v>3</v>
      </c>
      <c r="I155" s="47" t="s">
        <v>16</v>
      </c>
      <c r="J155" s="57">
        <v>46054</v>
      </c>
      <c r="K155" s="45">
        <v>753.48</v>
      </c>
    </row>
    <row r="156" spans="3:11" x14ac:dyDescent="0.2">
      <c r="C156" s="48">
        <v>1159</v>
      </c>
      <c r="D156" s="48" t="s">
        <v>14</v>
      </c>
      <c r="E156" s="48">
        <v>1159</v>
      </c>
      <c r="F156" s="48" t="s">
        <v>14</v>
      </c>
      <c r="G156" s="48" t="s">
        <v>1</v>
      </c>
      <c r="H156" s="48" t="s">
        <v>3</v>
      </c>
      <c r="I156" s="47" t="s">
        <v>39</v>
      </c>
      <c r="J156" s="57">
        <v>46054</v>
      </c>
      <c r="K156" s="45">
        <v>1658.8415679999998</v>
      </c>
    </row>
    <row r="157" spans="3:11" x14ac:dyDescent="0.2">
      <c r="C157" s="48">
        <v>1159</v>
      </c>
      <c r="D157" s="48" t="s">
        <v>14</v>
      </c>
      <c r="E157" s="48">
        <v>1159</v>
      </c>
      <c r="F157" s="48" t="s">
        <v>14</v>
      </c>
      <c r="G157" s="48" t="s">
        <v>1</v>
      </c>
      <c r="H157" s="48" t="s">
        <v>3</v>
      </c>
      <c r="I157" s="47" t="s">
        <v>32</v>
      </c>
      <c r="J157" s="57">
        <v>46054</v>
      </c>
      <c r="K157" s="45">
        <v>4970.557648</v>
      </c>
    </row>
    <row r="158" spans="3:11" x14ac:dyDescent="0.2">
      <c r="C158" s="48">
        <v>1159</v>
      </c>
      <c r="D158" s="48" t="s">
        <v>14</v>
      </c>
      <c r="E158" s="48">
        <v>1159</v>
      </c>
      <c r="F158" s="48" t="s">
        <v>14</v>
      </c>
      <c r="G158" s="48" t="s">
        <v>1</v>
      </c>
      <c r="H158" s="48" t="s">
        <v>3</v>
      </c>
      <c r="I158" s="47" t="s">
        <v>42</v>
      </c>
      <c r="J158" s="57">
        <v>46054</v>
      </c>
      <c r="K158" s="45">
        <v>0</v>
      </c>
    </row>
    <row r="159" spans="3:11" x14ac:dyDescent="0.2">
      <c r="C159" s="48">
        <v>1159</v>
      </c>
      <c r="D159" s="48" t="s">
        <v>14</v>
      </c>
      <c r="E159" s="48">
        <v>1159</v>
      </c>
      <c r="F159" s="48" t="s">
        <v>14</v>
      </c>
      <c r="G159" s="48" t="s">
        <v>1</v>
      </c>
      <c r="H159" s="48" t="s">
        <v>3</v>
      </c>
      <c r="I159" s="47" t="s">
        <v>442</v>
      </c>
      <c r="J159" s="57">
        <v>46054</v>
      </c>
      <c r="K159" s="45">
        <v>2612.88</v>
      </c>
    </row>
    <row r="160" spans="3:11" x14ac:dyDescent="0.2">
      <c r="C160" s="48">
        <v>1159</v>
      </c>
      <c r="D160" s="48" t="s">
        <v>14</v>
      </c>
      <c r="E160" s="48">
        <v>1159</v>
      </c>
      <c r="F160" s="48" t="s">
        <v>14</v>
      </c>
      <c r="G160" s="48" t="s">
        <v>1</v>
      </c>
      <c r="H160" s="48" t="s">
        <v>3</v>
      </c>
      <c r="I160" s="47" t="s">
        <v>30</v>
      </c>
      <c r="J160" s="57">
        <v>46054</v>
      </c>
      <c r="K160" s="45">
        <v>86.58</v>
      </c>
    </row>
    <row r="161" spans="3:11" x14ac:dyDescent="0.2">
      <c r="C161" s="48">
        <v>1159</v>
      </c>
      <c r="D161" s="48" t="s">
        <v>14</v>
      </c>
      <c r="E161" s="48">
        <v>1159</v>
      </c>
      <c r="F161" s="48" t="s">
        <v>14</v>
      </c>
      <c r="G161" s="48" t="s">
        <v>1</v>
      </c>
      <c r="H161" s="48" t="s">
        <v>3</v>
      </c>
      <c r="I161" s="47" t="s">
        <v>29</v>
      </c>
      <c r="J161" s="57">
        <v>46054</v>
      </c>
      <c r="K161" s="45">
        <v>0</v>
      </c>
    </row>
    <row r="162" spans="3:11" x14ac:dyDescent="0.2">
      <c r="C162" s="48">
        <v>1159</v>
      </c>
      <c r="D162" s="48" t="s">
        <v>14</v>
      </c>
      <c r="E162" s="48">
        <v>1159</v>
      </c>
      <c r="F162" s="48" t="s">
        <v>14</v>
      </c>
      <c r="G162" s="48" t="s">
        <v>1</v>
      </c>
      <c r="H162" s="48" t="s">
        <v>3</v>
      </c>
      <c r="I162" s="47" t="s">
        <v>28</v>
      </c>
      <c r="J162" s="57">
        <v>46054</v>
      </c>
      <c r="K162" s="45"/>
    </row>
    <row r="163" spans="3:11" x14ac:dyDescent="0.2">
      <c r="C163" s="48">
        <v>1159</v>
      </c>
      <c r="D163" s="48" t="s">
        <v>14</v>
      </c>
      <c r="E163" s="48">
        <v>1159</v>
      </c>
      <c r="F163" s="48" t="s">
        <v>14</v>
      </c>
      <c r="G163" s="48" t="s">
        <v>1</v>
      </c>
      <c r="H163" s="48" t="s">
        <v>3</v>
      </c>
      <c r="I163" s="47" t="s">
        <v>27</v>
      </c>
      <c r="J163" s="57">
        <v>46054</v>
      </c>
      <c r="K163" s="45">
        <v>4773.6448</v>
      </c>
    </row>
    <row r="164" spans="3:11" x14ac:dyDescent="0.2">
      <c r="C164" s="48">
        <v>1159</v>
      </c>
      <c r="D164" s="48" t="s">
        <v>14</v>
      </c>
      <c r="E164" s="48">
        <v>1159</v>
      </c>
      <c r="F164" s="48" t="s">
        <v>14</v>
      </c>
      <c r="G164" s="48" t="s">
        <v>1</v>
      </c>
      <c r="H164" s="48" t="s">
        <v>3</v>
      </c>
      <c r="I164" s="47" t="s">
        <v>26</v>
      </c>
      <c r="J164" s="57">
        <v>46054</v>
      </c>
      <c r="K164" s="45">
        <v>132.70732544000001</v>
      </c>
    </row>
    <row r="165" spans="3:11" x14ac:dyDescent="0.2">
      <c r="C165" s="48">
        <v>1159</v>
      </c>
      <c r="D165" s="48" t="s">
        <v>14</v>
      </c>
      <c r="E165" s="48">
        <v>1159</v>
      </c>
      <c r="F165" s="48" t="s">
        <v>14</v>
      </c>
      <c r="G165" s="48" t="s">
        <v>1</v>
      </c>
      <c r="H165" s="48" t="s">
        <v>3</v>
      </c>
      <c r="I165" s="47" t="s">
        <v>25</v>
      </c>
      <c r="J165" s="57">
        <v>46054</v>
      </c>
      <c r="K165" s="45">
        <v>397.64461183999998</v>
      </c>
    </row>
    <row r="166" spans="3:11" x14ac:dyDescent="0.2">
      <c r="C166" s="48">
        <v>1159</v>
      </c>
      <c r="D166" s="48" t="s">
        <v>14</v>
      </c>
      <c r="E166" s="48">
        <v>1159</v>
      </c>
      <c r="F166" s="48" t="s">
        <v>14</v>
      </c>
      <c r="G166" s="48" t="s">
        <v>1</v>
      </c>
      <c r="H166" s="48" t="s">
        <v>3</v>
      </c>
      <c r="I166" s="47" t="s">
        <v>24</v>
      </c>
      <c r="J166" s="57">
        <v>46054</v>
      </c>
      <c r="K166" s="45">
        <v>5251.0092800000011</v>
      </c>
    </row>
    <row r="167" spans="3:11" x14ac:dyDescent="0.2">
      <c r="C167" s="48">
        <v>1159</v>
      </c>
      <c r="D167" s="48" t="s">
        <v>14</v>
      </c>
      <c r="E167" s="48">
        <v>1159</v>
      </c>
      <c r="F167" s="48" t="s">
        <v>14</v>
      </c>
      <c r="G167" s="48" t="s">
        <v>1</v>
      </c>
      <c r="H167" s="48" t="s">
        <v>3</v>
      </c>
      <c r="I167" s="47" t="s">
        <v>23</v>
      </c>
      <c r="J167" s="57">
        <v>46054</v>
      </c>
      <c r="K167" s="45">
        <v>145.97805798400003</v>
      </c>
    </row>
    <row r="168" spans="3:11" x14ac:dyDescent="0.2">
      <c r="C168" s="48">
        <v>1159</v>
      </c>
      <c r="D168" s="48" t="s">
        <v>14</v>
      </c>
      <c r="E168" s="48">
        <v>1159</v>
      </c>
      <c r="F168" s="48" t="s">
        <v>14</v>
      </c>
      <c r="G168" s="48" t="s">
        <v>1</v>
      </c>
      <c r="H168" s="48" t="s">
        <v>3</v>
      </c>
      <c r="I168" s="47" t="s">
        <v>22</v>
      </c>
      <c r="J168" s="57">
        <v>46054</v>
      </c>
      <c r="K168" s="45">
        <v>165.8841568</v>
      </c>
    </row>
    <row r="169" spans="3:11" x14ac:dyDescent="0.2">
      <c r="C169" s="48">
        <v>1159</v>
      </c>
      <c r="D169" s="48" t="s">
        <v>14</v>
      </c>
      <c r="E169" s="48">
        <v>1159</v>
      </c>
      <c r="F169" s="48" t="s">
        <v>14</v>
      </c>
      <c r="G169" s="48" t="s">
        <v>1</v>
      </c>
      <c r="H169" s="48" t="s">
        <v>3</v>
      </c>
      <c r="I169" s="47" t="s">
        <v>21</v>
      </c>
      <c r="J169" s="57">
        <v>46054</v>
      </c>
      <c r="K169" s="45">
        <v>437.40907302400007</v>
      </c>
    </row>
    <row r="170" spans="3:11" x14ac:dyDescent="0.2">
      <c r="C170" s="48">
        <v>1159</v>
      </c>
      <c r="D170" s="48" t="s">
        <v>14</v>
      </c>
      <c r="E170" s="48">
        <v>1159</v>
      </c>
      <c r="F170" s="48" t="s">
        <v>14</v>
      </c>
      <c r="G170" s="48" t="s">
        <v>1</v>
      </c>
      <c r="H170" s="48" t="s">
        <v>3</v>
      </c>
      <c r="I170" s="47" t="s">
        <v>20</v>
      </c>
      <c r="J170" s="57">
        <v>46054</v>
      </c>
      <c r="K170" s="45">
        <v>497.05576480000002</v>
      </c>
    </row>
    <row r="171" spans="3:11" x14ac:dyDescent="0.2">
      <c r="C171" s="48">
        <v>1159</v>
      </c>
      <c r="D171" s="48" t="s">
        <v>14</v>
      </c>
      <c r="E171" s="48">
        <v>1159</v>
      </c>
      <c r="F171" s="48" t="s">
        <v>14</v>
      </c>
      <c r="G171" s="48" t="s">
        <v>1</v>
      </c>
      <c r="H171" s="48" t="s">
        <v>3</v>
      </c>
      <c r="I171" s="47" t="s">
        <v>19</v>
      </c>
      <c r="J171" s="57">
        <v>46054</v>
      </c>
      <c r="K171" s="45">
        <v>5967.0560000000005</v>
      </c>
    </row>
    <row r="172" spans="3:11" x14ac:dyDescent="0.2">
      <c r="C172" s="48">
        <v>1159</v>
      </c>
      <c r="D172" s="48" t="s">
        <v>14</v>
      </c>
      <c r="E172" s="48">
        <v>1159</v>
      </c>
      <c r="F172" s="48" t="s">
        <v>14</v>
      </c>
      <c r="G172" s="48" t="s">
        <v>1</v>
      </c>
      <c r="H172" s="48" t="s">
        <v>3</v>
      </c>
      <c r="I172" s="47" t="s">
        <v>18</v>
      </c>
      <c r="J172" s="57">
        <v>46054</v>
      </c>
      <c r="K172" s="45">
        <v>59023.16</v>
      </c>
    </row>
    <row r="173" spans="3:11" x14ac:dyDescent="0.2">
      <c r="C173" s="48">
        <v>1159</v>
      </c>
      <c r="D173" s="48" t="s">
        <v>14</v>
      </c>
      <c r="E173" s="48">
        <v>1159</v>
      </c>
      <c r="F173" s="48" t="s">
        <v>14</v>
      </c>
      <c r="G173" s="48" t="s">
        <v>1</v>
      </c>
      <c r="H173" s="48" t="s">
        <v>3</v>
      </c>
      <c r="I173" s="47" t="s">
        <v>17</v>
      </c>
      <c r="J173" s="57">
        <v>46054</v>
      </c>
      <c r="K173" s="45">
        <v>52.56</v>
      </c>
    </row>
    <row r="174" spans="3:11" x14ac:dyDescent="0.2">
      <c r="C174" s="48">
        <v>1159</v>
      </c>
      <c r="D174" s="48" t="s">
        <v>14</v>
      </c>
      <c r="E174" s="48">
        <v>1159</v>
      </c>
      <c r="F174" s="48" t="s">
        <v>14</v>
      </c>
      <c r="G174" s="48" t="s">
        <v>1</v>
      </c>
      <c r="H174" s="48" t="s">
        <v>3</v>
      </c>
      <c r="I174" s="47" t="s">
        <v>12</v>
      </c>
      <c r="J174" s="57">
        <v>46054</v>
      </c>
      <c r="K174" s="45">
        <v>2520</v>
      </c>
    </row>
    <row r="175" spans="3:11" x14ac:dyDescent="0.2">
      <c r="C175" s="48">
        <v>1159</v>
      </c>
      <c r="D175" s="48" t="s">
        <v>14</v>
      </c>
      <c r="E175" s="48">
        <v>1159</v>
      </c>
      <c r="F175" s="48" t="s">
        <v>14</v>
      </c>
      <c r="G175" s="48" t="s">
        <v>1</v>
      </c>
      <c r="H175" s="48" t="s">
        <v>3</v>
      </c>
      <c r="I175" s="47" t="s">
        <v>16</v>
      </c>
      <c r="J175" s="57">
        <v>46054</v>
      </c>
      <c r="K175" s="45">
        <v>0</v>
      </c>
    </row>
    <row r="176" spans="3:11" x14ac:dyDescent="0.2">
      <c r="C176" s="48">
        <v>1159</v>
      </c>
      <c r="D176" s="48" t="s">
        <v>14</v>
      </c>
      <c r="E176" s="48">
        <v>1160</v>
      </c>
      <c r="F176" s="48" t="s">
        <v>13</v>
      </c>
      <c r="G176" s="48" t="s">
        <v>1</v>
      </c>
      <c r="H176" s="48" t="s">
        <v>3</v>
      </c>
      <c r="I176" s="47" t="s">
        <v>39</v>
      </c>
      <c r="J176" s="57">
        <v>46054</v>
      </c>
      <c r="K176" s="45">
        <v>1858.344932</v>
      </c>
    </row>
    <row r="177" spans="3:11" x14ac:dyDescent="0.2">
      <c r="C177" s="48">
        <v>1159</v>
      </c>
      <c r="D177" s="48" t="s">
        <v>14</v>
      </c>
      <c r="E177" s="48">
        <v>1160</v>
      </c>
      <c r="F177" s="48" t="s">
        <v>13</v>
      </c>
      <c r="G177" s="48" t="s">
        <v>1</v>
      </c>
      <c r="H177" s="48" t="s">
        <v>3</v>
      </c>
      <c r="I177" s="47" t="s">
        <v>32</v>
      </c>
      <c r="J177" s="57">
        <v>46054</v>
      </c>
      <c r="K177" s="45">
        <v>5568.3501019999994</v>
      </c>
    </row>
    <row r="178" spans="3:11" x14ac:dyDescent="0.2">
      <c r="C178" s="48">
        <v>1159</v>
      </c>
      <c r="D178" s="48" t="s">
        <v>14</v>
      </c>
      <c r="E178" s="48">
        <v>1160</v>
      </c>
      <c r="F178" s="48" t="s">
        <v>13</v>
      </c>
      <c r="G178" s="48" t="s">
        <v>1</v>
      </c>
      <c r="H178" s="48" t="s">
        <v>3</v>
      </c>
      <c r="I178" s="47" t="s">
        <v>42</v>
      </c>
      <c r="J178" s="57">
        <v>46054</v>
      </c>
      <c r="K178" s="45">
        <v>0</v>
      </c>
    </row>
    <row r="179" spans="3:11" x14ac:dyDescent="0.2">
      <c r="C179" s="48">
        <v>1159</v>
      </c>
      <c r="D179" s="48" t="s">
        <v>14</v>
      </c>
      <c r="E179" s="48">
        <v>1160</v>
      </c>
      <c r="F179" s="48" t="s">
        <v>13</v>
      </c>
      <c r="G179" s="48" t="s">
        <v>1</v>
      </c>
      <c r="H179" s="48" t="s">
        <v>3</v>
      </c>
      <c r="I179" s="47" t="s">
        <v>442</v>
      </c>
      <c r="J179" s="57">
        <v>46054</v>
      </c>
      <c r="K179" s="45">
        <v>7638.36</v>
      </c>
    </row>
    <row r="180" spans="3:11" x14ac:dyDescent="0.2">
      <c r="C180" s="48">
        <v>1159</v>
      </c>
      <c r="D180" s="48" t="s">
        <v>14</v>
      </c>
      <c r="E180" s="48">
        <v>1160</v>
      </c>
      <c r="F180" s="48" t="s">
        <v>13</v>
      </c>
      <c r="G180" s="48" t="s">
        <v>1</v>
      </c>
      <c r="H180" s="48" t="s">
        <v>3</v>
      </c>
      <c r="I180" s="47" t="s">
        <v>30</v>
      </c>
      <c r="J180" s="57">
        <v>46054</v>
      </c>
      <c r="K180" s="45">
        <v>317.46000000000009</v>
      </c>
    </row>
    <row r="181" spans="3:11" x14ac:dyDescent="0.2">
      <c r="C181" s="48">
        <v>1159</v>
      </c>
      <c r="D181" s="48" t="s">
        <v>14</v>
      </c>
      <c r="E181" s="48">
        <v>1160</v>
      </c>
      <c r="F181" s="48" t="s">
        <v>13</v>
      </c>
      <c r="G181" s="48" t="s">
        <v>1</v>
      </c>
      <c r="H181" s="48" t="s">
        <v>3</v>
      </c>
      <c r="I181" s="47" t="s">
        <v>29</v>
      </c>
      <c r="J181" s="57">
        <v>46054</v>
      </c>
      <c r="K181" s="45">
        <v>0</v>
      </c>
    </row>
    <row r="182" spans="3:11" x14ac:dyDescent="0.2">
      <c r="C182" s="48">
        <v>1159</v>
      </c>
      <c r="D182" s="48" t="s">
        <v>14</v>
      </c>
      <c r="E182" s="48">
        <v>1160</v>
      </c>
      <c r="F182" s="48" t="s">
        <v>13</v>
      </c>
      <c r="G182" s="48" t="s">
        <v>1</v>
      </c>
      <c r="H182" s="48" t="s">
        <v>3</v>
      </c>
      <c r="I182" s="47" t="s">
        <v>28</v>
      </c>
      <c r="J182" s="57">
        <v>46054</v>
      </c>
      <c r="K182" s="45"/>
    </row>
    <row r="183" spans="3:11" x14ac:dyDescent="0.2">
      <c r="C183" s="48">
        <v>1159</v>
      </c>
      <c r="D183" s="48" t="s">
        <v>14</v>
      </c>
      <c r="E183" s="48">
        <v>1160</v>
      </c>
      <c r="F183" s="48" t="s">
        <v>13</v>
      </c>
      <c r="G183" s="48" t="s">
        <v>1</v>
      </c>
      <c r="H183" s="48" t="s">
        <v>3</v>
      </c>
      <c r="I183" s="47" t="s">
        <v>27</v>
      </c>
      <c r="J183" s="57">
        <v>46054</v>
      </c>
      <c r="K183" s="45">
        <v>5347.7551999999996</v>
      </c>
    </row>
    <row r="184" spans="3:11" x14ac:dyDescent="0.2">
      <c r="C184" s="48">
        <v>1159</v>
      </c>
      <c r="D184" s="48" t="s">
        <v>14</v>
      </c>
      <c r="E184" s="48">
        <v>1160</v>
      </c>
      <c r="F184" s="48" t="s">
        <v>13</v>
      </c>
      <c r="G184" s="48" t="s">
        <v>1</v>
      </c>
      <c r="H184" s="48" t="s">
        <v>3</v>
      </c>
      <c r="I184" s="47" t="s">
        <v>26</v>
      </c>
      <c r="J184" s="57">
        <v>46054</v>
      </c>
      <c r="K184" s="45">
        <v>148.66759456</v>
      </c>
    </row>
    <row r="185" spans="3:11" x14ac:dyDescent="0.2">
      <c r="C185" s="48">
        <v>1159</v>
      </c>
      <c r="D185" s="48" t="s">
        <v>14</v>
      </c>
      <c r="E185" s="48">
        <v>1160</v>
      </c>
      <c r="F185" s="48" t="s">
        <v>13</v>
      </c>
      <c r="G185" s="48" t="s">
        <v>1</v>
      </c>
      <c r="H185" s="48" t="s">
        <v>3</v>
      </c>
      <c r="I185" s="47" t="s">
        <v>25</v>
      </c>
      <c r="J185" s="57">
        <v>46054</v>
      </c>
      <c r="K185" s="45">
        <v>445.46800815999995</v>
      </c>
    </row>
    <row r="186" spans="3:11" x14ac:dyDescent="0.2">
      <c r="C186" s="48">
        <v>1159</v>
      </c>
      <c r="D186" s="48" t="s">
        <v>14</v>
      </c>
      <c r="E186" s="48">
        <v>1160</v>
      </c>
      <c r="F186" s="48" t="s">
        <v>13</v>
      </c>
      <c r="G186" s="48" t="s">
        <v>1</v>
      </c>
      <c r="H186" s="48" t="s">
        <v>3</v>
      </c>
      <c r="I186" s="47" t="s">
        <v>24</v>
      </c>
      <c r="J186" s="57">
        <v>46054</v>
      </c>
      <c r="K186" s="45">
        <v>5882.5307200000007</v>
      </c>
    </row>
    <row r="187" spans="3:11" x14ac:dyDescent="0.2">
      <c r="C187" s="48">
        <v>1159</v>
      </c>
      <c r="D187" s="48" t="s">
        <v>14</v>
      </c>
      <c r="E187" s="48">
        <v>1160</v>
      </c>
      <c r="F187" s="48" t="s">
        <v>13</v>
      </c>
      <c r="G187" s="48" t="s">
        <v>1</v>
      </c>
      <c r="H187" s="48" t="s">
        <v>3</v>
      </c>
      <c r="I187" s="47" t="s">
        <v>23</v>
      </c>
      <c r="J187" s="57">
        <v>46054</v>
      </c>
      <c r="K187" s="45">
        <v>163.53435401600001</v>
      </c>
    </row>
    <row r="188" spans="3:11" x14ac:dyDescent="0.2">
      <c r="C188" s="48">
        <v>1159</v>
      </c>
      <c r="D188" s="48" t="s">
        <v>14</v>
      </c>
      <c r="E188" s="48">
        <v>1160</v>
      </c>
      <c r="F188" s="48" t="s">
        <v>13</v>
      </c>
      <c r="G188" s="48" t="s">
        <v>1</v>
      </c>
      <c r="H188" s="48" t="s">
        <v>3</v>
      </c>
      <c r="I188" s="47" t="s">
        <v>22</v>
      </c>
      <c r="J188" s="57">
        <v>46054</v>
      </c>
      <c r="K188" s="45">
        <v>185.83449319999997</v>
      </c>
    </row>
    <row r="189" spans="3:11" x14ac:dyDescent="0.2">
      <c r="C189" s="48">
        <v>1159</v>
      </c>
      <c r="D189" s="48" t="s">
        <v>14</v>
      </c>
      <c r="E189" s="48">
        <v>1160</v>
      </c>
      <c r="F189" s="48" t="s">
        <v>13</v>
      </c>
      <c r="G189" s="48" t="s">
        <v>1</v>
      </c>
      <c r="H189" s="48" t="s">
        <v>3</v>
      </c>
      <c r="I189" s="47" t="s">
        <v>21</v>
      </c>
      <c r="J189" s="57">
        <v>46054</v>
      </c>
      <c r="K189" s="45">
        <v>490.01480897600004</v>
      </c>
    </row>
    <row r="190" spans="3:11" x14ac:dyDescent="0.2">
      <c r="C190" s="48">
        <v>1159</v>
      </c>
      <c r="D190" s="48" t="s">
        <v>14</v>
      </c>
      <c r="E190" s="48">
        <v>1160</v>
      </c>
      <c r="F190" s="48" t="s">
        <v>13</v>
      </c>
      <c r="G190" s="48" t="s">
        <v>1</v>
      </c>
      <c r="H190" s="48" t="s">
        <v>3</v>
      </c>
      <c r="I190" s="47" t="s">
        <v>20</v>
      </c>
      <c r="J190" s="57">
        <v>46054</v>
      </c>
      <c r="K190" s="45">
        <v>556.83501019999994</v>
      </c>
    </row>
    <row r="191" spans="3:11" x14ac:dyDescent="0.2">
      <c r="C191" s="48">
        <v>1159</v>
      </c>
      <c r="D191" s="48" t="s">
        <v>14</v>
      </c>
      <c r="E191" s="48">
        <v>1160</v>
      </c>
      <c r="F191" s="48" t="s">
        <v>13</v>
      </c>
      <c r="G191" s="48" t="s">
        <v>1</v>
      </c>
      <c r="H191" s="48" t="s">
        <v>3</v>
      </c>
      <c r="I191" s="47" t="s">
        <v>19</v>
      </c>
      <c r="J191" s="57">
        <v>46054</v>
      </c>
      <c r="K191" s="45">
        <v>6684.6939999999995</v>
      </c>
    </row>
    <row r="192" spans="3:11" x14ac:dyDescent="0.2">
      <c r="C192" s="48">
        <v>1159</v>
      </c>
      <c r="D192" s="48" t="s">
        <v>14</v>
      </c>
      <c r="E192" s="48">
        <v>1160</v>
      </c>
      <c r="F192" s="48" t="s">
        <v>13</v>
      </c>
      <c r="G192" s="48" t="s">
        <v>1</v>
      </c>
      <c r="H192" s="48" t="s">
        <v>3</v>
      </c>
      <c r="I192" s="47" t="s">
        <v>18</v>
      </c>
      <c r="J192" s="57">
        <v>46054</v>
      </c>
      <c r="K192" s="45">
        <v>65474.28</v>
      </c>
    </row>
    <row r="193" spans="3:11" x14ac:dyDescent="0.2">
      <c r="C193" s="48">
        <v>1159</v>
      </c>
      <c r="D193" s="48" t="s">
        <v>14</v>
      </c>
      <c r="E193" s="48">
        <v>1160</v>
      </c>
      <c r="F193" s="48" t="s">
        <v>13</v>
      </c>
      <c r="G193" s="48" t="s">
        <v>1</v>
      </c>
      <c r="H193" s="48" t="s">
        <v>3</v>
      </c>
      <c r="I193" s="47" t="s">
        <v>17</v>
      </c>
      <c r="J193" s="57">
        <v>46054</v>
      </c>
      <c r="K193" s="45">
        <v>175.20000000000002</v>
      </c>
    </row>
    <row r="194" spans="3:11" x14ac:dyDescent="0.2">
      <c r="C194" s="48">
        <v>1159</v>
      </c>
      <c r="D194" s="48" t="s">
        <v>14</v>
      </c>
      <c r="E194" s="48">
        <v>1160</v>
      </c>
      <c r="F194" s="48" t="s">
        <v>13</v>
      </c>
      <c r="G194" s="48" t="s">
        <v>1</v>
      </c>
      <c r="H194" s="48" t="s">
        <v>3</v>
      </c>
      <c r="I194" s="47" t="s">
        <v>12</v>
      </c>
      <c r="J194" s="57">
        <v>46054</v>
      </c>
      <c r="K194" s="45">
        <v>8400</v>
      </c>
    </row>
    <row r="195" spans="3:11" x14ac:dyDescent="0.2">
      <c r="C195" s="48">
        <v>1159</v>
      </c>
      <c r="D195" s="48" t="s">
        <v>14</v>
      </c>
      <c r="E195" s="48">
        <v>1160</v>
      </c>
      <c r="F195" s="48" t="s">
        <v>13</v>
      </c>
      <c r="G195" s="48" t="s">
        <v>1</v>
      </c>
      <c r="H195" s="48" t="s">
        <v>3</v>
      </c>
      <c r="I195" s="47" t="s">
        <v>16</v>
      </c>
      <c r="J195" s="57">
        <v>46054</v>
      </c>
      <c r="K195" s="45">
        <v>257.04000000000002</v>
      </c>
    </row>
    <row r="196" spans="3:11" x14ac:dyDescent="0.2">
      <c r="C196" s="48">
        <v>1000</v>
      </c>
      <c r="D196" s="48" t="s">
        <v>70</v>
      </c>
      <c r="E196" s="48">
        <v>1003</v>
      </c>
      <c r="F196" s="48" t="s">
        <v>72</v>
      </c>
      <c r="G196" s="48" t="s">
        <v>1</v>
      </c>
      <c r="H196" s="48" t="s">
        <v>72</v>
      </c>
      <c r="I196" s="47" t="s">
        <v>74</v>
      </c>
      <c r="J196" s="57">
        <v>46082</v>
      </c>
      <c r="K196" s="45">
        <v>20000</v>
      </c>
    </row>
    <row r="197" spans="3:11" x14ac:dyDescent="0.2">
      <c r="C197" s="48">
        <v>1000</v>
      </c>
      <c r="D197" s="48" t="s">
        <v>70</v>
      </c>
      <c r="E197" s="48">
        <v>1003</v>
      </c>
      <c r="F197" s="48" t="s">
        <v>72</v>
      </c>
      <c r="G197" s="48" t="s">
        <v>1</v>
      </c>
      <c r="H197" s="48" t="s">
        <v>72</v>
      </c>
      <c r="I197" s="47" t="s">
        <v>73</v>
      </c>
      <c r="J197" s="57">
        <v>46082</v>
      </c>
      <c r="K197" s="45">
        <v>600</v>
      </c>
    </row>
    <row r="198" spans="3:11" x14ac:dyDescent="0.2">
      <c r="C198" s="48">
        <v>1000</v>
      </c>
      <c r="D198" s="48" t="s">
        <v>70</v>
      </c>
      <c r="E198" s="48">
        <v>1003</v>
      </c>
      <c r="F198" s="48" t="s">
        <v>72</v>
      </c>
      <c r="G198" s="48" t="s">
        <v>1</v>
      </c>
      <c r="H198" s="48" t="s">
        <v>72</v>
      </c>
      <c r="I198" s="47" t="s">
        <v>71</v>
      </c>
      <c r="J198" s="57">
        <v>46082</v>
      </c>
      <c r="K198" s="45">
        <v>5000</v>
      </c>
    </row>
    <row r="199" spans="3:11" x14ac:dyDescent="0.2">
      <c r="C199" s="48">
        <v>1159</v>
      </c>
      <c r="D199" s="48" t="s">
        <v>14</v>
      </c>
      <c r="E199" s="48">
        <v>1150</v>
      </c>
      <c r="F199" s="48" t="s">
        <v>15</v>
      </c>
      <c r="G199" s="48" t="s">
        <v>1</v>
      </c>
      <c r="H199" s="48" t="s">
        <v>132</v>
      </c>
      <c r="I199" s="47" t="s">
        <v>43</v>
      </c>
      <c r="J199" s="57">
        <v>46082</v>
      </c>
      <c r="K199" s="45">
        <v>200</v>
      </c>
    </row>
    <row r="200" spans="3:11" x14ac:dyDescent="0.2">
      <c r="C200" s="48">
        <v>1159</v>
      </c>
      <c r="D200" s="48" t="s">
        <v>14</v>
      </c>
      <c r="E200" s="48">
        <v>1150</v>
      </c>
      <c r="F200" s="48" t="s">
        <v>15</v>
      </c>
      <c r="G200" s="48" t="s">
        <v>1</v>
      </c>
      <c r="H200" s="48" t="s">
        <v>0</v>
      </c>
      <c r="I200" s="47" t="s">
        <v>51</v>
      </c>
      <c r="J200" s="57">
        <v>46082</v>
      </c>
      <c r="K200" s="45">
        <v>5000</v>
      </c>
    </row>
    <row r="201" spans="3:11" x14ac:dyDescent="0.2">
      <c r="C201" s="48">
        <v>1159</v>
      </c>
      <c r="D201" s="48" t="s">
        <v>14</v>
      </c>
      <c r="E201" s="48">
        <v>1150</v>
      </c>
      <c r="F201" s="48" t="s">
        <v>15</v>
      </c>
      <c r="G201" s="48" t="s">
        <v>1</v>
      </c>
      <c r="H201" s="48" t="s">
        <v>0</v>
      </c>
      <c r="I201" s="47" t="s">
        <v>447</v>
      </c>
      <c r="J201" s="57">
        <v>46082</v>
      </c>
      <c r="K201" s="45">
        <v>3023.6305000000002</v>
      </c>
    </row>
    <row r="202" spans="3:11" x14ac:dyDescent="0.2">
      <c r="C202" s="48">
        <v>1159</v>
      </c>
      <c r="D202" s="48" t="s">
        <v>14</v>
      </c>
      <c r="E202" s="48">
        <v>1150</v>
      </c>
      <c r="F202" s="48" t="s">
        <v>15</v>
      </c>
      <c r="G202" s="48" t="s">
        <v>1</v>
      </c>
      <c r="H202" s="48" t="s">
        <v>66</v>
      </c>
      <c r="I202" s="47" t="s">
        <v>67</v>
      </c>
      <c r="J202" s="57">
        <v>46082</v>
      </c>
      <c r="K202" s="45">
        <v>150000</v>
      </c>
    </row>
    <row r="203" spans="3:11" x14ac:dyDescent="0.2">
      <c r="C203" s="48">
        <v>1159</v>
      </c>
      <c r="D203" s="48" t="s">
        <v>14</v>
      </c>
      <c r="E203" s="48">
        <v>1150</v>
      </c>
      <c r="F203" s="48" t="s">
        <v>15</v>
      </c>
      <c r="G203" s="48" t="s">
        <v>1</v>
      </c>
      <c r="H203" s="48" t="s">
        <v>66</v>
      </c>
      <c r="I203" s="47" t="s">
        <v>68</v>
      </c>
      <c r="J203" s="57">
        <v>46082</v>
      </c>
      <c r="K203" s="45">
        <v>150000</v>
      </c>
    </row>
    <row r="204" spans="3:11" x14ac:dyDescent="0.2">
      <c r="C204" s="48">
        <v>1159</v>
      </c>
      <c r="D204" s="48" t="s">
        <v>14</v>
      </c>
      <c r="E204" s="48">
        <v>1150</v>
      </c>
      <c r="F204" s="48" t="s">
        <v>15</v>
      </c>
      <c r="G204" s="48" t="s">
        <v>1</v>
      </c>
      <c r="H204" s="48" t="s">
        <v>66</v>
      </c>
      <c r="I204" s="47" t="s">
        <v>69</v>
      </c>
      <c r="J204" s="57">
        <v>46082</v>
      </c>
      <c r="K204" s="45">
        <v>30000</v>
      </c>
    </row>
    <row r="205" spans="3:11" x14ac:dyDescent="0.2">
      <c r="C205" s="48">
        <v>1159</v>
      </c>
      <c r="D205" s="48" t="s">
        <v>14</v>
      </c>
      <c r="E205" s="48">
        <v>1150</v>
      </c>
      <c r="F205" s="48" t="s">
        <v>15</v>
      </c>
      <c r="G205" s="48" t="s">
        <v>1</v>
      </c>
      <c r="H205" s="48" t="s">
        <v>66</v>
      </c>
      <c r="I205" s="47" t="s">
        <v>65</v>
      </c>
      <c r="J205" s="57">
        <v>46082</v>
      </c>
      <c r="K205" s="45">
        <v>24671.843625000001</v>
      </c>
    </row>
    <row r="206" spans="3:11" x14ac:dyDescent="0.2">
      <c r="C206" s="48">
        <v>1159</v>
      </c>
      <c r="D206" s="48" t="s">
        <v>14</v>
      </c>
      <c r="E206" s="48">
        <v>1150</v>
      </c>
      <c r="F206" s="48" t="s">
        <v>15</v>
      </c>
      <c r="G206" s="48" t="s">
        <v>1</v>
      </c>
      <c r="H206" s="48" t="s">
        <v>46</v>
      </c>
      <c r="I206" s="47" t="s">
        <v>48</v>
      </c>
      <c r="J206" s="57">
        <v>46082</v>
      </c>
      <c r="K206" s="45">
        <v>2000</v>
      </c>
    </row>
    <row r="207" spans="3:11" x14ac:dyDescent="0.2">
      <c r="C207" s="48">
        <v>1159</v>
      </c>
      <c r="D207" s="48" t="s">
        <v>14</v>
      </c>
      <c r="E207" s="48">
        <v>1150</v>
      </c>
      <c r="F207" s="48" t="s">
        <v>15</v>
      </c>
      <c r="G207" s="48" t="s">
        <v>1</v>
      </c>
      <c r="H207" s="48" t="s">
        <v>41</v>
      </c>
      <c r="I207" s="47" t="s">
        <v>40</v>
      </c>
      <c r="J207" s="57">
        <v>46082</v>
      </c>
      <c r="K207" s="45">
        <v>1000</v>
      </c>
    </row>
    <row r="208" spans="3:11" x14ac:dyDescent="0.2">
      <c r="C208" s="48">
        <v>1159</v>
      </c>
      <c r="D208" s="48" t="s">
        <v>14</v>
      </c>
      <c r="E208" s="48">
        <v>1150</v>
      </c>
      <c r="F208" s="48" t="s">
        <v>15</v>
      </c>
      <c r="G208" s="48" t="s">
        <v>1</v>
      </c>
      <c r="H208" s="48" t="s">
        <v>132</v>
      </c>
      <c r="I208" s="47" t="s">
        <v>47</v>
      </c>
      <c r="J208" s="57">
        <v>46082</v>
      </c>
      <c r="K208" s="45">
        <v>120</v>
      </c>
    </row>
    <row r="209" spans="3:11" x14ac:dyDescent="0.2">
      <c r="C209" s="48">
        <v>1159</v>
      </c>
      <c r="D209" s="48" t="s">
        <v>14</v>
      </c>
      <c r="E209" s="48">
        <v>1150</v>
      </c>
      <c r="F209" s="48" t="s">
        <v>15</v>
      </c>
      <c r="G209" s="48" t="s">
        <v>1</v>
      </c>
      <c r="H209" s="48" t="s">
        <v>46</v>
      </c>
      <c r="I209" s="47" t="s">
        <v>64</v>
      </c>
      <c r="J209" s="57">
        <v>46082</v>
      </c>
      <c r="K209" s="45"/>
    </row>
    <row r="210" spans="3:11" x14ac:dyDescent="0.2">
      <c r="C210" s="48">
        <v>1159</v>
      </c>
      <c r="D210" s="48" t="s">
        <v>14</v>
      </c>
      <c r="E210" s="48">
        <v>1150</v>
      </c>
      <c r="F210" s="48" t="s">
        <v>15</v>
      </c>
      <c r="G210" s="48" t="s">
        <v>1</v>
      </c>
      <c r="H210" s="48" t="s">
        <v>46</v>
      </c>
      <c r="I210" s="47" t="s">
        <v>63</v>
      </c>
      <c r="J210" s="57">
        <v>46082</v>
      </c>
      <c r="K210" s="45"/>
    </row>
    <row r="211" spans="3:11" x14ac:dyDescent="0.2">
      <c r="C211" s="48">
        <v>1159</v>
      </c>
      <c r="D211" s="48" t="s">
        <v>14</v>
      </c>
      <c r="E211" s="48">
        <v>1150</v>
      </c>
      <c r="F211" s="48" t="s">
        <v>15</v>
      </c>
      <c r="G211" s="48" t="s">
        <v>1</v>
      </c>
      <c r="H211" s="48" t="s">
        <v>46</v>
      </c>
      <c r="I211" s="47" t="s">
        <v>444</v>
      </c>
      <c r="J211" s="57">
        <v>46082</v>
      </c>
      <c r="K211" s="45">
        <v>0</v>
      </c>
    </row>
    <row r="212" spans="3:11" x14ac:dyDescent="0.2">
      <c r="C212" s="48">
        <v>1159</v>
      </c>
      <c r="D212" s="48" t="s">
        <v>14</v>
      </c>
      <c r="E212" s="48">
        <v>1150</v>
      </c>
      <c r="F212" s="48" t="s">
        <v>15</v>
      </c>
      <c r="G212" s="48" t="s">
        <v>1</v>
      </c>
      <c r="H212" s="48" t="s">
        <v>66</v>
      </c>
      <c r="I212" s="47" t="s">
        <v>65</v>
      </c>
      <c r="J212" s="57">
        <v>46082</v>
      </c>
      <c r="K212" s="45">
        <v>5000</v>
      </c>
    </row>
    <row r="213" spans="3:11" x14ac:dyDescent="0.2">
      <c r="C213" s="48">
        <v>1159</v>
      </c>
      <c r="D213" s="48" t="s">
        <v>14</v>
      </c>
      <c r="E213" s="48">
        <v>1159</v>
      </c>
      <c r="F213" s="48" t="s">
        <v>14</v>
      </c>
      <c r="G213" s="48" t="s">
        <v>1</v>
      </c>
      <c r="H213" s="48" t="s">
        <v>132</v>
      </c>
      <c r="I213" s="47" t="s">
        <v>43</v>
      </c>
      <c r="J213" s="57">
        <v>46082</v>
      </c>
      <c r="K213" s="45">
        <v>37.5</v>
      </c>
    </row>
    <row r="214" spans="3:11" x14ac:dyDescent="0.2">
      <c r="C214" s="48">
        <v>1159</v>
      </c>
      <c r="D214" s="48" t="s">
        <v>14</v>
      </c>
      <c r="E214" s="48">
        <v>1159</v>
      </c>
      <c r="F214" s="48" t="s">
        <v>14</v>
      </c>
      <c r="G214" s="48" t="s">
        <v>1</v>
      </c>
      <c r="H214" s="48" t="s">
        <v>50</v>
      </c>
      <c r="I214" s="47" t="s">
        <v>49</v>
      </c>
      <c r="J214" s="57">
        <v>46082</v>
      </c>
      <c r="K214" s="45">
        <v>1000</v>
      </c>
    </row>
    <row r="215" spans="3:11" x14ac:dyDescent="0.2">
      <c r="C215" s="48">
        <v>1159</v>
      </c>
      <c r="D215" s="48" t="s">
        <v>14</v>
      </c>
      <c r="E215" s="48">
        <v>1159</v>
      </c>
      <c r="F215" s="48" t="s">
        <v>14</v>
      </c>
      <c r="G215" s="48" t="s">
        <v>1</v>
      </c>
      <c r="H215" s="48" t="s">
        <v>66</v>
      </c>
      <c r="I215" s="47" t="s">
        <v>65</v>
      </c>
      <c r="J215" s="57">
        <v>46082</v>
      </c>
      <c r="K215" s="45">
        <v>1000</v>
      </c>
    </row>
    <row r="216" spans="3:11" x14ac:dyDescent="0.2">
      <c r="C216" s="48">
        <v>1159</v>
      </c>
      <c r="D216" s="48" t="s">
        <v>14</v>
      </c>
      <c r="E216" s="48">
        <v>1159</v>
      </c>
      <c r="F216" s="48" t="s">
        <v>14</v>
      </c>
      <c r="G216" s="48" t="s">
        <v>1</v>
      </c>
      <c r="H216" s="48" t="s">
        <v>57</v>
      </c>
      <c r="I216" s="47" t="s">
        <v>60</v>
      </c>
      <c r="J216" s="57">
        <v>46082</v>
      </c>
      <c r="K216" s="45">
        <v>2402.321625</v>
      </c>
    </row>
    <row r="217" spans="3:11" x14ac:dyDescent="0.2">
      <c r="C217" s="48">
        <v>1159</v>
      </c>
      <c r="D217" s="48" t="s">
        <v>14</v>
      </c>
      <c r="E217" s="48">
        <v>1159</v>
      </c>
      <c r="F217" s="48" t="s">
        <v>14</v>
      </c>
      <c r="G217" s="48" t="s">
        <v>1</v>
      </c>
      <c r="H217" s="48" t="s">
        <v>57</v>
      </c>
      <c r="I217" s="47" t="s">
        <v>59</v>
      </c>
      <c r="J217" s="57">
        <v>46082</v>
      </c>
      <c r="K217" s="45">
        <v>6544.64</v>
      </c>
    </row>
    <row r="218" spans="3:11" x14ac:dyDescent="0.2">
      <c r="C218" s="48">
        <v>1159</v>
      </c>
      <c r="D218" s="48" t="s">
        <v>14</v>
      </c>
      <c r="E218" s="48">
        <v>1159</v>
      </c>
      <c r="F218" s="48" t="s">
        <v>14</v>
      </c>
      <c r="G218" s="48" t="s">
        <v>1</v>
      </c>
      <c r="H218" s="48" t="s">
        <v>57</v>
      </c>
      <c r="I218" s="47" t="s">
        <v>453</v>
      </c>
      <c r="J218" s="57">
        <v>46082</v>
      </c>
      <c r="K218" s="45"/>
    </row>
    <row r="219" spans="3:11" x14ac:dyDescent="0.2">
      <c r="C219" s="48">
        <v>1159</v>
      </c>
      <c r="D219" s="48" t="s">
        <v>14</v>
      </c>
      <c r="E219" s="48">
        <v>1159</v>
      </c>
      <c r="F219" s="48" t="s">
        <v>14</v>
      </c>
      <c r="G219" s="48" t="s">
        <v>1</v>
      </c>
      <c r="H219" s="48" t="s">
        <v>41</v>
      </c>
      <c r="I219" s="47" t="s">
        <v>55</v>
      </c>
      <c r="J219" s="57">
        <v>46082</v>
      </c>
      <c r="K219" s="45">
        <v>6000</v>
      </c>
    </row>
    <row r="220" spans="3:11" x14ac:dyDescent="0.2">
      <c r="C220" s="48">
        <v>1159</v>
      </c>
      <c r="D220" s="48" t="s">
        <v>14</v>
      </c>
      <c r="E220" s="48">
        <v>1159</v>
      </c>
      <c r="F220" s="48" t="s">
        <v>14</v>
      </c>
      <c r="G220" s="48" t="s">
        <v>1</v>
      </c>
      <c r="H220" s="48" t="s">
        <v>41</v>
      </c>
      <c r="I220" s="47" t="s">
        <v>138</v>
      </c>
      <c r="J220" s="57">
        <v>46082</v>
      </c>
      <c r="K220" s="45">
        <v>5500</v>
      </c>
    </row>
    <row r="221" spans="3:11" x14ac:dyDescent="0.2">
      <c r="C221" s="48">
        <v>1159</v>
      </c>
      <c r="D221" s="48" t="s">
        <v>14</v>
      </c>
      <c r="E221" s="48">
        <v>1159</v>
      </c>
      <c r="F221" s="48" t="s">
        <v>14</v>
      </c>
      <c r="G221" s="48" t="s">
        <v>1</v>
      </c>
      <c r="H221" s="48" t="s">
        <v>57</v>
      </c>
      <c r="I221" s="47" t="s">
        <v>56</v>
      </c>
      <c r="J221" s="57">
        <v>46082</v>
      </c>
      <c r="K221" s="45">
        <v>891.80850000000021</v>
      </c>
    </row>
    <row r="222" spans="3:11" x14ac:dyDescent="0.2">
      <c r="C222" s="48">
        <v>1159</v>
      </c>
      <c r="D222" s="48" t="s">
        <v>14</v>
      </c>
      <c r="E222" s="48">
        <v>1159</v>
      </c>
      <c r="F222" s="48" t="s">
        <v>14</v>
      </c>
      <c r="G222" s="48" t="s">
        <v>1</v>
      </c>
      <c r="H222" s="48" t="s">
        <v>41</v>
      </c>
      <c r="I222" s="47" t="s">
        <v>52</v>
      </c>
      <c r="J222" s="57">
        <v>46082</v>
      </c>
      <c r="K222" s="45">
        <v>1000</v>
      </c>
    </row>
    <row r="223" spans="3:11" x14ac:dyDescent="0.2">
      <c r="C223" s="48">
        <v>1159</v>
      </c>
      <c r="D223" s="48" t="s">
        <v>14</v>
      </c>
      <c r="E223" s="48">
        <v>1159</v>
      </c>
      <c r="F223" s="48" t="s">
        <v>14</v>
      </c>
      <c r="G223" s="48" t="s">
        <v>1</v>
      </c>
      <c r="H223" s="48" t="s">
        <v>41</v>
      </c>
      <c r="I223" s="47" t="s">
        <v>40</v>
      </c>
      <c r="J223" s="57">
        <v>46082</v>
      </c>
      <c r="K223" s="45">
        <v>600</v>
      </c>
    </row>
    <row r="224" spans="3:11" x14ac:dyDescent="0.2">
      <c r="C224" s="48">
        <v>1159</v>
      </c>
      <c r="D224" s="48" t="s">
        <v>14</v>
      </c>
      <c r="E224" s="48">
        <v>1160</v>
      </c>
      <c r="F224" s="48" t="s">
        <v>13</v>
      </c>
      <c r="G224" s="48" t="s">
        <v>1</v>
      </c>
      <c r="H224" s="48" t="s">
        <v>132</v>
      </c>
      <c r="I224" s="47" t="s">
        <v>43</v>
      </c>
      <c r="J224" s="57">
        <v>46082</v>
      </c>
      <c r="K224" s="45">
        <v>137.5</v>
      </c>
    </row>
    <row r="225" spans="3:11" x14ac:dyDescent="0.2">
      <c r="C225" s="48">
        <v>1159</v>
      </c>
      <c r="D225" s="48" t="s">
        <v>14</v>
      </c>
      <c r="E225" s="48">
        <v>1160</v>
      </c>
      <c r="F225" s="48" t="s">
        <v>13</v>
      </c>
      <c r="G225" s="48" t="s">
        <v>1</v>
      </c>
      <c r="H225" s="48" t="s">
        <v>0</v>
      </c>
      <c r="I225" s="47" t="s">
        <v>51</v>
      </c>
      <c r="J225" s="57">
        <v>46082</v>
      </c>
      <c r="K225" s="45">
        <v>25000</v>
      </c>
    </row>
    <row r="226" spans="3:11" x14ac:dyDescent="0.2">
      <c r="C226" s="48">
        <v>1159</v>
      </c>
      <c r="D226" s="48" t="s">
        <v>14</v>
      </c>
      <c r="E226" s="48">
        <v>1160</v>
      </c>
      <c r="F226" s="48" t="s">
        <v>13</v>
      </c>
      <c r="G226" s="48" t="s">
        <v>1</v>
      </c>
      <c r="H226" s="48" t="s">
        <v>66</v>
      </c>
      <c r="I226" s="47" t="s">
        <v>68</v>
      </c>
      <c r="J226" s="57">
        <v>46082</v>
      </c>
      <c r="K226" s="45">
        <v>10000</v>
      </c>
    </row>
    <row r="227" spans="3:11" x14ac:dyDescent="0.2">
      <c r="C227" s="48">
        <v>1159</v>
      </c>
      <c r="D227" s="48" t="s">
        <v>14</v>
      </c>
      <c r="E227" s="48">
        <v>1160</v>
      </c>
      <c r="F227" s="48" t="s">
        <v>13</v>
      </c>
      <c r="G227" s="48" t="s">
        <v>1</v>
      </c>
      <c r="H227" s="48" t="s">
        <v>66</v>
      </c>
      <c r="I227" s="47" t="s">
        <v>67</v>
      </c>
      <c r="J227" s="57">
        <v>46082</v>
      </c>
      <c r="K227" s="45">
        <v>7000</v>
      </c>
    </row>
    <row r="228" spans="3:11" x14ac:dyDescent="0.2">
      <c r="C228" s="48">
        <v>1159</v>
      </c>
      <c r="D228" s="48" t="s">
        <v>14</v>
      </c>
      <c r="E228" s="48">
        <v>1160</v>
      </c>
      <c r="F228" s="48" t="s">
        <v>13</v>
      </c>
      <c r="G228" s="48" t="s">
        <v>1</v>
      </c>
      <c r="H228" s="48" t="s">
        <v>66</v>
      </c>
      <c r="I228" s="47" t="s">
        <v>65</v>
      </c>
      <c r="J228" s="57">
        <v>46082</v>
      </c>
      <c r="K228" s="45">
        <v>5000</v>
      </c>
    </row>
    <row r="229" spans="3:11" x14ac:dyDescent="0.2">
      <c r="C229" s="48">
        <v>1159</v>
      </c>
      <c r="D229" s="48" t="s">
        <v>14</v>
      </c>
      <c r="E229" s="48">
        <v>1160</v>
      </c>
      <c r="F229" s="48" t="s">
        <v>13</v>
      </c>
      <c r="G229" s="48" t="s">
        <v>1</v>
      </c>
      <c r="H229" s="48" t="s">
        <v>46</v>
      </c>
      <c r="I229" s="47" t="s">
        <v>48</v>
      </c>
      <c r="J229" s="57">
        <v>46082</v>
      </c>
      <c r="K229" s="45">
        <v>21000</v>
      </c>
    </row>
    <row r="230" spans="3:11" x14ac:dyDescent="0.2">
      <c r="C230" s="48">
        <v>1159</v>
      </c>
      <c r="D230" s="48" t="s">
        <v>14</v>
      </c>
      <c r="E230" s="48">
        <v>1160</v>
      </c>
      <c r="F230" s="48" t="s">
        <v>13</v>
      </c>
      <c r="G230" s="48" t="s">
        <v>1</v>
      </c>
      <c r="H230" s="48" t="s">
        <v>41</v>
      </c>
      <c r="I230" s="47" t="s">
        <v>40</v>
      </c>
      <c r="J230" s="57">
        <v>46082</v>
      </c>
      <c r="K230" s="45">
        <v>300</v>
      </c>
    </row>
    <row r="231" spans="3:11" x14ac:dyDescent="0.2">
      <c r="C231" s="48">
        <v>1159</v>
      </c>
      <c r="D231" s="48" t="s">
        <v>14</v>
      </c>
      <c r="E231" s="48">
        <v>1150</v>
      </c>
      <c r="F231" s="48" t="s">
        <v>15</v>
      </c>
      <c r="G231" s="48" t="s">
        <v>1</v>
      </c>
      <c r="H231" s="48" t="s">
        <v>3</v>
      </c>
      <c r="I231" s="47" t="s">
        <v>39</v>
      </c>
      <c r="J231" s="57">
        <v>46082</v>
      </c>
      <c r="K231" s="45">
        <v>2065.9478260000001</v>
      </c>
    </row>
    <row r="232" spans="3:11" x14ac:dyDescent="0.2">
      <c r="C232" s="48">
        <v>1159</v>
      </c>
      <c r="D232" s="48" t="s">
        <v>14</v>
      </c>
      <c r="E232" s="48">
        <v>1150</v>
      </c>
      <c r="F232" s="48" t="s">
        <v>15</v>
      </c>
      <c r="G232" s="48" t="s">
        <v>1</v>
      </c>
      <c r="H232" s="48" t="s">
        <v>3</v>
      </c>
      <c r="I232" s="47" t="s">
        <v>32</v>
      </c>
      <c r="J232" s="57">
        <v>46082</v>
      </c>
      <c r="K232" s="45">
        <v>6190.4120109999985</v>
      </c>
    </row>
    <row r="233" spans="3:11" x14ac:dyDescent="0.2">
      <c r="C233" s="48">
        <v>1159</v>
      </c>
      <c r="D233" s="48" t="s">
        <v>14</v>
      </c>
      <c r="E233" s="48">
        <v>1150</v>
      </c>
      <c r="F233" s="48" t="s">
        <v>15</v>
      </c>
      <c r="G233" s="48" t="s">
        <v>1</v>
      </c>
      <c r="H233" s="48" t="s">
        <v>3</v>
      </c>
      <c r="I233" s="47" t="s">
        <v>42</v>
      </c>
      <c r="J233" s="57">
        <v>46082</v>
      </c>
      <c r="K233" s="45">
        <v>0</v>
      </c>
    </row>
    <row r="234" spans="3:11" x14ac:dyDescent="0.2">
      <c r="C234" s="48">
        <v>1159</v>
      </c>
      <c r="D234" s="48" t="s">
        <v>14</v>
      </c>
      <c r="E234" s="48">
        <v>1150</v>
      </c>
      <c r="F234" s="48" t="s">
        <v>15</v>
      </c>
      <c r="G234" s="48" t="s">
        <v>1</v>
      </c>
      <c r="H234" s="48" t="s">
        <v>3</v>
      </c>
      <c r="I234" s="47" t="s">
        <v>442</v>
      </c>
      <c r="J234" s="57">
        <v>46082</v>
      </c>
      <c r="K234" s="45">
        <v>9380.2799999999988</v>
      </c>
    </row>
    <row r="235" spans="3:11" x14ac:dyDescent="0.2">
      <c r="C235" s="48">
        <v>1159</v>
      </c>
      <c r="D235" s="48" t="s">
        <v>14</v>
      </c>
      <c r="E235" s="48">
        <v>1150</v>
      </c>
      <c r="F235" s="48" t="s">
        <v>15</v>
      </c>
      <c r="G235" s="48" t="s">
        <v>1</v>
      </c>
      <c r="H235" s="48" t="s">
        <v>3</v>
      </c>
      <c r="I235" s="47" t="s">
        <v>30</v>
      </c>
      <c r="J235" s="57">
        <v>46082</v>
      </c>
      <c r="K235" s="45">
        <v>375.18000000000006</v>
      </c>
    </row>
    <row r="236" spans="3:11" x14ac:dyDescent="0.2">
      <c r="C236" s="48">
        <v>1159</v>
      </c>
      <c r="D236" s="48" t="s">
        <v>14</v>
      </c>
      <c r="E236" s="48">
        <v>1150</v>
      </c>
      <c r="F236" s="48" t="s">
        <v>15</v>
      </c>
      <c r="G236" s="48" t="s">
        <v>1</v>
      </c>
      <c r="H236" s="48" t="s">
        <v>3</v>
      </c>
      <c r="I236" s="47" t="s">
        <v>29</v>
      </c>
      <c r="J236" s="57">
        <v>46082</v>
      </c>
      <c r="K236" s="45">
        <v>0</v>
      </c>
    </row>
    <row r="237" spans="3:11" x14ac:dyDescent="0.2">
      <c r="C237" s="48">
        <v>1159</v>
      </c>
      <c r="D237" s="48" t="s">
        <v>14</v>
      </c>
      <c r="E237" s="48">
        <v>1150</v>
      </c>
      <c r="F237" s="48" t="s">
        <v>15</v>
      </c>
      <c r="G237" s="48" t="s">
        <v>1</v>
      </c>
      <c r="H237" s="48" t="s">
        <v>3</v>
      </c>
      <c r="I237" s="47" t="s">
        <v>28</v>
      </c>
      <c r="J237" s="57">
        <v>46082</v>
      </c>
      <c r="K237" s="45">
        <v>0</v>
      </c>
    </row>
    <row r="238" spans="3:11" x14ac:dyDescent="0.2">
      <c r="C238" s="48">
        <v>1159</v>
      </c>
      <c r="D238" s="48" t="s">
        <v>14</v>
      </c>
      <c r="E238" s="48">
        <v>1150</v>
      </c>
      <c r="F238" s="48" t="s">
        <v>15</v>
      </c>
      <c r="G238" s="48" t="s">
        <v>1</v>
      </c>
      <c r="H238" s="48" t="s">
        <v>3</v>
      </c>
      <c r="I238" s="47" t="s">
        <v>27</v>
      </c>
      <c r="J238" s="57">
        <v>46082</v>
      </c>
      <c r="K238" s="45">
        <v>5945.1736000000001</v>
      </c>
    </row>
    <row r="239" spans="3:11" x14ac:dyDescent="0.2">
      <c r="C239" s="48">
        <v>1159</v>
      </c>
      <c r="D239" s="48" t="s">
        <v>14</v>
      </c>
      <c r="E239" s="48">
        <v>1150</v>
      </c>
      <c r="F239" s="48" t="s">
        <v>15</v>
      </c>
      <c r="G239" s="48" t="s">
        <v>1</v>
      </c>
      <c r="H239" s="48" t="s">
        <v>3</v>
      </c>
      <c r="I239" s="47" t="s">
        <v>26</v>
      </c>
      <c r="J239" s="57">
        <v>46082</v>
      </c>
      <c r="K239" s="45">
        <v>165.27582608</v>
      </c>
    </row>
    <row r="240" spans="3:11" x14ac:dyDescent="0.2">
      <c r="C240" s="48">
        <v>1159</v>
      </c>
      <c r="D240" s="48" t="s">
        <v>14</v>
      </c>
      <c r="E240" s="48">
        <v>1150</v>
      </c>
      <c r="F240" s="48" t="s">
        <v>15</v>
      </c>
      <c r="G240" s="48" t="s">
        <v>1</v>
      </c>
      <c r="H240" s="48" t="s">
        <v>3</v>
      </c>
      <c r="I240" s="47" t="s">
        <v>25</v>
      </c>
      <c r="J240" s="57">
        <v>46082</v>
      </c>
      <c r="K240" s="45">
        <v>495.23296088000006</v>
      </c>
    </row>
    <row r="241" spans="3:11" x14ac:dyDescent="0.2">
      <c r="C241" s="48">
        <v>1159</v>
      </c>
      <c r="D241" s="48" t="s">
        <v>14</v>
      </c>
      <c r="E241" s="48">
        <v>1150</v>
      </c>
      <c r="F241" s="48" t="s">
        <v>15</v>
      </c>
      <c r="G241" s="48" t="s">
        <v>1</v>
      </c>
      <c r="H241" s="48" t="s">
        <v>3</v>
      </c>
      <c r="I241" s="47" t="s">
        <v>24</v>
      </c>
      <c r="J241" s="57">
        <v>46082</v>
      </c>
      <c r="K241" s="45">
        <v>6539.6909600000008</v>
      </c>
    </row>
    <row r="242" spans="3:11" x14ac:dyDescent="0.2">
      <c r="C242" s="48">
        <v>1159</v>
      </c>
      <c r="D242" s="48" t="s">
        <v>14</v>
      </c>
      <c r="E242" s="48">
        <v>1150</v>
      </c>
      <c r="F242" s="48" t="s">
        <v>15</v>
      </c>
      <c r="G242" s="48" t="s">
        <v>1</v>
      </c>
      <c r="H242" s="48" t="s">
        <v>3</v>
      </c>
      <c r="I242" s="47" t="s">
        <v>23</v>
      </c>
      <c r="J242" s="57">
        <v>46082</v>
      </c>
      <c r="K242" s="45">
        <v>181.80340868800002</v>
      </c>
    </row>
    <row r="243" spans="3:11" x14ac:dyDescent="0.2">
      <c r="C243" s="48">
        <v>1159</v>
      </c>
      <c r="D243" s="48" t="s">
        <v>14</v>
      </c>
      <c r="E243" s="48">
        <v>1150</v>
      </c>
      <c r="F243" s="48" t="s">
        <v>15</v>
      </c>
      <c r="G243" s="48" t="s">
        <v>1</v>
      </c>
      <c r="H243" s="48" t="s">
        <v>3</v>
      </c>
      <c r="I243" s="47" t="s">
        <v>22</v>
      </c>
      <c r="J243" s="57">
        <v>46082</v>
      </c>
      <c r="K243" s="45">
        <v>206.5947826</v>
      </c>
    </row>
    <row r="244" spans="3:11" x14ac:dyDescent="0.2">
      <c r="C244" s="48">
        <v>1159</v>
      </c>
      <c r="D244" s="48" t="s">
        <v>14</v>
      </c>
      <c r="E244" s="48">
        <v>1150</v>
      </c>
      <c r="F244" s="48" t="s">
        <v>15</v>
      </c>
      <c r="G244" s="48" t="s">
        <v>1</v>
      </c>
      <c r="H244" s="48" t="s">
        <v>3</v>
      </c>
      <c r="I244" s="47" t="s">
        <v>21</v>
      </c>
      <c r="J244" s="57">
        <v>46082</v>
      </c>
      <c r="K244" s="45">
        <v>544.756256968</v>
      </c>
    </row>
    <row r="245" spans="3:11" x14ac:dyDescent="0.2">
      <c r="C245" s="48">
        <v>1159</v>
      </c>
      <c r="D245" s="48" t="s">
        <v>14</v>
      </c>
      <c r="E245" s="48">
        <v>1150</v>
      </c>
      <c r="F245" s="48" t="s">
        <v>15</v>
      </c>
      <c r="G245" s="48" t="s">
        <v>1</v>
      </c>
      <c r="H245" s="48" t="s">
        <v>3</v>
      </c>
      <c r="I245" s="47" t="s">
        <v>20</v>
      </c>
      <c r="J245" s="57">
        <v>46082</v>
      </c>
      <c r="K245" s="45">
        <v>619.04120110000008</v>
      </c>
    </row>
    <row r="246" spans="3:11" x14ac:dyDescent="0.2">
      <c r="C246" s="48">
        <v>1159</v>
      </c>
      <c r="D246" s="48" t="s">
        <v>14</v>
      </c>
      <c r="E246" s="48">
        <v>1150</v>
      </c>
      <c r="F246" s="48" t="s">
        <v>15</v>
      </c>
      <c r="G246" s="48" t="s">
        <v>1</v>
      </c>
      <c r="H246" s="48" t="s">
        <v>3</v>
      </c>
      <c r="I246" s="47" t="s">
        <v>19</v>
      </c>
      <c r="J246" s="57">
        <v>46082</v>
      </c>
      <c r="K246" s="45">
        <v>7431.4670000000006</v>
      </c>
    </row>
    <row r="247" spans="3:11" x14ac:dyDescent="0.2">
      <c r="C247" s="48">
        <v>1159</v>
      </c>
      <c r="D247" s="48" t="s">
        <v>14</v>
      </c>
      <c r="E247" s="48">
        <v>1150</v>
      </c>
      <c r="F247" s="48" t="s">
        <v>15</v>
      </c>
      <c r="G247" s="48" t="s">
        <v>1</v>
      </c>
      <c r="H247" s="48" t="s">
        <v>3</v>
      </c>
      <c r="I247" s="47" t="s">
        <v>18</v>
      </c>
      <c r="J247" s="57">
        <v>46082</v>
      </c>
      <c r="K247" s="45">
        <v>72484.428199999995</v>
      </c>
    </row>
    <row r="248" spans="3:11" x14ac:dyDescent="0.2">
      <c r="C248" s="48">
        <v>1159</v>
      </c>
      <c r="D248" s="48" t="s">
        <v>14</v>
      </c>
      <c r="E248" s="48">
        <v>1150</v>
      </c>
      <c r="F248" s="48" t="s">
        <v>15</v>
      </c>
      <c r="G248" s="48" t="s">
        <v>1</v>
      </c>
      <c r="H248" s="48" t="s">
        <v>3</v>
      </c>
      <c r="I248" s="47" t="s">
        <v>17</v>
      </c>
      <c r="J248" s="57">
        <v>46082</v>
      </c>
      <c r="K248" s="45">
        <v>210.24000000000004</v>
      </c>
    </row>
    <row r="249" spans="3:11" x14ac:dyDescent="0.2">
      <c r="C249" s="48">
        <v>1159</v>
      </c>
      <c r="D249" s="48" t="s">
        <v>14</v>
      </c>
      <c r="E249" s="48">
        <v>1150</v>
      </c>
      <c r="F249" s="48" t="s">
        <v>15</v>
      </c>
      <c r="G249" s="48" t="s">
        <v>1</v>
      </c>
      <c r="H249" s="48" t="s">
        <v>3</v>
      </c>
      <c r="I249" s="47" t="s">
        <v>12</v>
      </c>
      <c r="J249" s="57">
        <v>46082</v>
      </c>
      <c r="K249" s="45">
        <v>9975</v>
      </c>
    </row>
    <row r="250" spans="3:11" x14ac:dyDescent="0.2">
      <c r="C250" s="48">
        <v>1159</v>
      </c>
      <c r="D250" s="48" t="s">
        <v>14</v>
      </c>
      <c r="E250" s="48">
        <v>1150</v>
      </c>
      <c r="F250" s="48" t="s">
        <v>15</v>
      </c>
      <c r="G250" s="48" t="s">
        <v>1</v>
      </c>
      <c r="H250" s="48" t="s">
        <v>3</v>
      </c>
      <c r="I250" s="47" t="s">
        <v>16</v>
      </c>
      <c r="J250" s="57">
        <v>46082</v>
      </c>
      <c r="K250" s="45">
        <v>753.48</v>
      </c>
    </row>
    <row r="251" spans="3:11" x14ac:dyDescent="0.2">
      <c r="C251" s="48">
        <v>1159</v>
      </c>
      <c r="D251" s="48" t="s">
        <v>14</v>
      </c>
      <c r="E251" s="48">
        <v>1159</v>
      </c>
      <c r="F251" s="48" t="s">
        <v>14</v>
      </c>
      <c r="G251" s="48" t="s">
        <v>1</v>
      </c>
      <c r="H251" s="48" t="s">
        <v>3</v>
      </c>
      <c r="I251" s="47" t="s">
        <v>39</v>
      </c>
      <c r="J251" s="57">
        <v>46082</v>
      </c>
      <c r="K251" s="45">
        <v>1658.8415679999998</v>
      </c>
    </row>
    <row r="252" spans="3:11" x14ac:dyDescent="0.2">
      <c r="C252" s="48">
        <v>1159</v>
      </c>
      <c r="D252" s="48" t="s">
        <v>14</v>
      </c>
      <c r="E252" s="48">
        <v>1159</v>
      </c>
      <c r="F252" s="48" t="s">
        <v>14</v>
      </c>
      <c r="G252" s="48" t="s">
        <v>1</v>
      </c>
      <c r="H252" s="48" t="s">
        <v>3</v>
      </c>
      <c r="I252" s="47" t="s">
        <v>32</v>
      </c>
      <c r="J252" s="57">
        <v>46082</v>
      </c>
      <c r="K252" s="45">
        <v>4970.557648</v>
      </c>
    </row>
    <row r="253" spans="3:11" x14ac:dyDescent="0.2">
      <c r="C253" s="48">
        <v>1159</v>
      </c>
      <c r="D253" s="48" t="s">
        <v>14</v>
      </c>
      <c r="E253" s="48">
        <v>1159</v>
      </c>
      <c r="F253" s="48" t="s">
        <v>14</v>
      </c>
      <c r="G253" s="48" t="s">
        <v>1</v>
      </c>
      <c r="H253" s="48" t="s">
        <v>3</v>
      </c>
      <c r="I253" s="47" t="s">
        <v>42</v>
      </c>
      <c r="J253" s="57">
        <v>46082</v>
      </c>
      <c r="K253" s="45">
        <v>0</v>
      </c>
    </row>
    <row r="254" spans="3:11" x14ac:dyDescent="0.2">
      <c r="C254" s="48">
        <v>1159</v>
      </c>
      <c r="D254" s="48" t="s">
        <v>14</v>
      </c>
      <c r="E254" s="48">
        <v>1159</v>
      </c>
      <c r="F254" s="48" t="s">
        <v>14</v>
      </c>
      <c r="G254" s="48" t="s">
        <v>1</v>
      </c>
      <c r="H254" s="48" t="s">
        <v>3</v>
      </c>
      <c r="I254" s="47" t="s">
        <v>442</v>
      </c>
      <c r="J254" s="57">
        <v>46082</v>
      </c>
      <c r="K254" s="45">
        <v>2612.88</v>
      </c>
    </row>
    <row r="255" spans="3:11" x14ac:dyDescent="0.2">
      <c r="C255" s="48">
        <v>1159</v>
      </c>
      <c r="D255" s="48" t="s">
        <v>14</v>
      </c>
      <c r="E255" s="48">
        <v>1159</v>
      </c>
      <c r="F255" s="48" t="s">
        <v>14</v>
      </c>
      <c r="G255" s="48" t="s">
        <v>1</v>
      </c>
      <c r="H255" s="48" t="s">
        <v>3</v>
      </c>
      <c r="I255" s="47" t="s">
        <v>30</v>
      </c>
      <c r="J255" s="57">
        <v>46082</v>
      </c>
      <c r="K255" s="45">
        <v>86.58</v>
      </c>
    </row>
    <row r="256" spans="3:11" x14ac:dyDescent="0.2">
      <c r="C256" s="48">
        <v>1159</v>
      </c>
      <c r="D256" s="48" t="s">
        <v>14</v>
      </c>
      <c r="E256" s="48">
        <v>1159</v>
      </c>
      <c r="F256" s="48" t="s">
        <v>14</v>
      </c>
      <c r="G256" s="48" t="s">
        <v>1</v>
      </c>
      <c r="H256" s="48" t="s">
        <v>3</v>
      </c>
      <c r="I256" s="47" t="s">
        <v>29</v>
      </c>
      <c r="J256" s="57">
        <v>46082</v>
      </c>
      <c r="K256" s="45">
        <v>0</v>
      </c>
    </row>
    <row r="257" spans="3:11" x14ac:dyDescent="0.2">
      <c r="C257" s="48">
        <v>1159</v>
      </c>
      <c r="D257" s="48" t="s">
        <v>14</v>
      </c>
      <c r="E257" s="48">
        <v>1159</v>
      </c>
      <c r="F257" s="48" t="s">
        <v>14</v>
      </c>
      <c r="G257" s="48" t="s">
        <v>1</v>
      </c>
      <c r="H257" s="48" t="s">
        <v>3</v>
      </c>
      <c r="I257" s="47" t="s">
        <v>28</v>
      </c>
      <c r="J257" s="57">
        <v>46082</v>
      </c>
      <c r="K257" s="45"/>
    </row>
    <row r="258" spans="3:11" x14ac:dyDescent="0.2">
      <c r="C258" s="48">
        <v>1159</v>
      </c>
      <c r="D258" s="48" t="s">
        <v>14</v>
      </c>
      <c r="E258" s="48">
        <v>1159</v>
      </c>
      <c r="F258" s="48" t="s">
        <v>14</v>
      </c>
      <c r="G258" s="48" t="s">
        <v>1</v>
      </c>
      <c r="H258" s="48" t="s">
        <v>3</v>
      </c>
      <c r="I258" s="47" t="s">
        <v>27</v>
      </c>
      <c r="J258" s="57">
        <v>46082</v>
      </c>
      <c r="K258" s="45">
        <v>4773.6448</v>
      </c>
    </row>
    <row r="259" spans="3:11" x14ac:dyDescent="0.2">
      <c r="C259" s="48">
        <v>1159</v>
      </c>
      <c r="D259" s="48" t="s">
        <v>14</v>
      </c>
      <c r="E259" s="48">
        <v>1159</v>
      </c>
      <c r="F259" s="48" t="s">
        <v>14</v>
      </c>
      <c r="G259" s="48" t="s">
        <v>1</v>
      </c>
      <c r="H259" s="48" t="s">
        <v>3</v>
      </c>
      <c r="I259" s="47" t="s">
        <v>26</v>
      </c>
      <c r="J259" s="57">
        <v>46082</v>
      </c>
      <c r="K259" s="45">
        <v>132.70732544000001</v>
      </c>
    </row>
    <row r="260" spans="3:11" x14ac:dyDescent="0.2">
      <c r="C260" s="48">
        <v>1159</v>
      </c>
      <c r="D260" s="48" t="s">
        <v>14</v>
      </c>
      <c r="E260" s="48">
        <v>1159</v>
      </c>
      <c r="F260" s="48" t="s">
        <v>14</v>
      </c>
      <c r="G260" s="48" t="s">
        <v>1</v>
      </c>
      <c r="H260" s="48" t="s">
        <v>3</v>
      </c>
      <c r="I260" s="47" t="s">
        <v>25</v>
      </c>
      <c r="J260" s="57">
        <v>46082</v>
      </c>
      <c r="K260" s="45">
        <v>397.64461183999998</v>
      </c>
    </row>
    <row r="261" spans="3:11" x14ac:dyDescent="0.2">
      <c r="C261" s="48">
        <v>1159</v>
      </c>
      <c r="D261" s="48" t="s">
        <v>14</v>
      </c>
      <c r="E261" s="48">
        <v>1159</v>
      </c>
      <c r="F261" s="48" t="s">
        <v>14</v>
      </c>
      <c r="G261" s="48" t="s">
        <v>1</v>
      </c>
      <c r="H261" s="48" t="s">
        <v>3</v>
      </c>
      <c r="I261" s="47" t="s">
        <v>24</v>
      </c>
      <c r="J261" s="57">
        <v>46082</v>
      </c>
      <c r="K261" s="45">
        <v>5251.0092800000011</v>
      </c>
    </row>
    <row r="262" spans="3:11" x14ac:dyDescent="0.2">
      <c r="C262" s="48">
        <v>1159</v>
      </c>
      <c r="D262" s="48" t="s">
        <v>14</v>
      </c>
      <c r="E262" s="48">
        <v>1159</v>
      </c>
      <c r="F262" s="48" t="s">
        <v>14</v>
      </c>
      <c r="G262" s="48" t="s">
        <v>1</v>
      </c>
      <c r="H262" s="48" t="s">
        <v>3</v>
      </c>
      <c r="I262" s="47" t="s">
        <v>23</v>
      </c>
      <c r="J262" s="57">
        <v>46082</v>
      </c>
      <c r="K262" s="45">
        <v>145.97805798400003</v>
      </c>
    </row>
    <row r="263" spans="3:11" x14ac:dyDescent="0.2">
      <c r="C263" s="48">
        <v>1159</v>
      </c>
      <c r="D263" s="48" t="s">
        <v>14</v>
      </c>
      <c r="E263" s="48">
        <v>1159</v>
      </c>
      <c r="F263" s="48" t="s">
        <v>14</v>
      </c>
      <c r="G263" s="48" t="s">
        <v>1</v>
      </c>
      <c r="H263" s="48" t="s">
        <v>3</v>
      </c>
      <c r="I263" s="47" t="s">
        <v>22</v>
      </c>
      <c r="J263" s="57">
        <v>46082</v>
      </c>
      <c r="K263" s="45">
        <v>165.8841568</v>
      </c>
    </row>
    <row r="264" spans="3:11" x14ac:dyDescent="0.2">
      <c r="C264" s="48">
        <v>1159</v>
      </c>
      <c r="D264" s="48" t="s">
        <v>14</v>
      </c>
      <c r="E264" s="48">
        <v>1159</v>
      </c>
      <c r="F264" s="48" t="s">
        <v>14</v>
      </c>
      <c r="G264" s="48" t="s">
        <v>1</v>
      </c>
      <c r="H264" s="48" t="s">
        <v>3</v>
      </c>
      <c r="I264" s="47" t="s">
        <v>21</v>
      </c>
      <c r="J264" s="57">
        <v>46082</v>
      </c>
      <c r="K264" s="45">
        <v>437.40907302400007</v>
      </c>
    </row>
    <row r="265" spans="3:11" x14ac:dyDescent="0.2">
      <c r="C265" s="48">
        <v>1159</v>
      </c>
      <c r="D265" s="48" t="s">
        <v>14</v>
      </c>
      <c r="E265" s="48">
        <v>1159</v>
      </c>
      <c r="F265" s="48" t="s">
        <v>14</v>
      </c>
      <c r="G265" s="48" t="s">
        <v>1</v>
      </c>
      <c r="H265" s="48" t="s">
        <v>3</v>
      </c>
      <c r="I265" s="47" t="s">
        <v>20</v>
      </c>
      <c r="J265" s="57">
        <v>46082</v>
      </c>
      <c r="K265" s="45">
        <v>497.05576480000002</v>
      </c>
    </row>
    <row r="266" spans="3:11" x14ac:dyDescent="0.2">
      <c r="C266" s="48">
        <v>1159</v>
      </c>
      <c r="D266" s="48" t="s">
        <v>14</v>
      </c>
      <c r="E266" s="48">
        <v>1159</v>
      </c>
      <c r="F266" s="48" t="s">
        <v>14</v>
      </c>
      <c r="G266" s="48" t="s">
        <v>1</v>
      </c>
      <c r="H266" s="48" t="s">
        <v>3</v>
      </c>
      <c r="I266" s="47" t="s">
        <v>19</v>
      </c>
      <c r="J266" s="57">
        <v>46082</v>
      </c>
      <c r="K266" s="45">
        <v>5967.0560000000005</v>
      </c>
    </row>
    <row r="267" spans="3:11" x14ac:dyDescent="0.2">
      <c r="C267" s="48">
        <v>1159</v>
      </c>
      <c r="D267" s="48" t="s">
        <v>14</v>
      </c>
      <c r="E267" s="48">
        <v>1159</v>
      </c>
      <c r="F267" s="48" t="s">
        <v>14</v>
      </c>
      <c r="G267" s="48" t="s">
        <v>1</v>
      </c>
      <c r="H267" s="48" t="s">
        <v>3</v>
      </c>
      <c r="I267" s="47" t="s">
        <v>18</v>
      </c>
      <c r="J267" s="57">
        <v>46082</v>
      </c>
      <c r="K267" s="45">
        <v>59023.16</v>
      </c>
    </row>
    <row r="268" spans="3:11" x14ac:dyDescent="0.2">
      <c r="C268" s="48">
        <v>1159</v>
      </c>
      <c r="D268" s="48" t="s">
        <v>14</v>
      </c>
      <c r="E268" s="48">
        <v>1159</v>
      </c>
      <c r="F268" s="48" t="s">
        <v>14</v>
      </c>
      <c r="G268" s="48" t="s">
        <v>1</v>
      </c>
      <c r="H268" s="48" t="s">
        <v>3</v>
      </c>
      <c r="I268" s="47" t="s">
        <v>17</v>
      </c>
      <c r="J268" s="57">
        <v>46082</v>
      </c>
      <c r="K268" s="45">
        <v>52.56</v>
      </c>
    </row>
    <row r="269" spans="3:11" x14ac:dyDescent="0.2">
      <c r="C269" s="48">
        <v>1159</v>
      </c>
      <c r="D269" s="48" t="s">
        <v>14</v>
      </c>
      <c r="E269" s="48">
        <v>1159</v>
      </c>
      <c r="F269" s="48" t="s">
        <v>14</v>
      </c>
      <c r="G269" s="48" t="s">
        <v>1</v>
      </c>
      <c r="H269" s="48" t="s">
        <v>3</v>
      </c>
      <c r="I269" s="47" t="s">
        <v>12</v>
      </c>
      <c r="J269" s="57">
        <v>46082</v>
      </c>
      <c r="K269" s="45">
        <v>2520</v>
      </c>
    </row>
    <row r="270" spans="3:11" x14ac:dyDescent="0.2">
      <c r="C270" s="48">
        <v>1159</v>
      </c>
      <c r="D270" s="48" t="s">
        <v>14</v>
      </c>
      <c r="E270" s="48">
        <v>1159</v>
      </c>
      <c r="F270" s="48" t="s">
        <v>14</v>
      </c>
      <c r="G270" s="48" t="s">
        <v>1</v>
      </c>
      <c r="H270" s="48" t="s">
        <v>3</v>
      </c>
      <c r="I270" s="47" t="s">
        <v>16</v>
      </c>
      <c r="J270" s="57">
        <v>46082</v>
      </c>
      <c r="K270" s="45">
        <v>0</v>
      </c>
    </row>
    <row r="271" spans="3:11" x14ac:dyDescent="0.2">
      <c r="C271" s="48">
        <v>1159</v>
      </c>
      <c r="D271" s="48" t="s">
        <v>14</v>
      </c>
      <c r="E271" s="48">
        <v>1160</v>
      </c>
      <c r="F271" s="48" t="s">
        <v>13</v>
      </c>
      <c r="G271" s="48" t="s">
        <v>1</v>
      </c>
      <c r="H271" s="48" t="s">
        <v>3</v>
      </c>
      <c r="I271" s="47" t="s">
        <v>39</v>
      </c>
      <c r="J271" s="57">
        <v>46082</v>
      </c>
      <c r="K271" s="45">
        <v>1922.2849319999996</v>
      </c>
    </row>
    <row r="272" spans="3:11" x14ac:dyDescent="0.2">
      <c r="C272" s="48">
        <v>1159</v>
      </c>
      <c r="D272" s="48" t="s">
        <v>14</v>
      </c>
      <c r="E272" s="48">
        <v>1160</v>
      </c>
      <c r="F272" s="48" t="s">
        <v>13</v>
      </c>
      <c r="G272" s="48" t="s">
        <v>1</v>
      </c>
      <c r="H272" s="48" t="s">
        <v>3</v>
      </c>
      <c r="I272" s="47" t="s">
        <v>32</v>
      </c>
      <c r="J272" s="57">
        <v>46082</v>
      </c>
      <c r="K272" s="45">
        <v>5759.9401019999996</v>
      </c>
    </row>
    <row r="273" spans="3:11" x14ac:dyDescent="0.2">
      <c r="C273" s="48">
        <v>1159</v>
      </c>
      <c r="D273" s="48" t="s">
        <v>14</v>
      </c>
      <c r="E273" s="48">
        <v>1160</v>
      </c>
      <c r="F273" s="48" t="s">
        <v>13</v>
      </c>
      <c r="G273" s="48" t="s">
        <v>1</v>
      </c>
      <c r="H273" s="48" t="s">
        <v>3</v>
      </c>
      <c r="I273" s="47" t="s">
        <v>42</v>
      </c>
      <c r="J273" s="57">
        <v>46082</v>
      </c>
      <c r="K273" s="45">
        <v>0</v>
      </c>
    </row>
    <row r="274" spans="3:11" x14ac:dyDescent="0.2">
      <c r="C274" s="48">
        <v>1159</v>
      </c>
      <c r="D274" s="48" t="s">
        <v>14</v>
      </c>
      <c r="E274" s="48">
        <v>1160</v>
      </c>
      <c r="F274" s="48" t="s">
        <v>13</v>
      </c>
      <c r="G274" s="48" t="s">
        <v>1</v>
      </c>
      <c r="H274" s="48" t="s">
        <v>3</v>
      </c>
      <c r="I274" s="47" t="s">
        <v>442</v>
      </c>
      <c r="J274" s="57">
        <v>46082</v>
      </c>
      <c r="K274" s="45">
        <v>8293.52</v>
      </c>
    </row>
    <row r="275" spans="3:11" x14ac:dyDescent="0.2">
      <c r="C275" s="48">
        <v>1159</v>
      </c>
      <c r="D275" s="48" t="s">
        <v>14</v>
      </c>
      <c r="E275" s="48">
        <v>1160</v>
      </c>
      <c r="F275" s="48" t="s">
        <v>13</v>
      </c>
      <c r="G275" s="48" t="s">
        <v>1</v>
      </c>
      <c r="H275" s="48" t="s">
        <v>3</v>
      </c>
      <c r="I275" s="47" t="s">
        <v>30</v>
      </c>
      <c r="J275" s="57">
        <v>46082</v>
      </c>
      <c r="K275" s="45">
        <v>346.32000000000011</v>
      </c>
    </row>
    <row r="276" spans="3:11" x14ac:dyDescent="0.2">
      <c r="C276" s="48">
        <v>1159</v>
      </c>
      <c r="D276" s="48" t="s">
        <v>14</v>
      </c>
      <c r="E276" s="48">
        <v>1160</v>
      </c>
      <c r="F276" s="48" t="s">
        <v>13</v>
      </c>
      <c r="G276" s="48" t="s">
        <v>1</v>
      </c>
      <c r="H276" s="48" t="s">
        <v>3</v>
      </c>
      <c r="I276" s="47" t="s">
        <v>29</v>
      </c>
      <c r="J276" s="57">
        <v>46082</v>
      </c>
      <c r="K276" s="45">
        <v>0</v>
      </c>
    </row>
    <row r="277" spans="3:11" x14ac:dyDescent="0.2">
      <c r="C277" s="48">
        <v>1159</v>
      </c>
      <c r="D277" s="48" t="s">
        <v>14</v>
      </c>
      <c r="E277" s="48">
        <v>1160</v>
      </c>
      <c r="F277" s="48" t="s">
        <v>13</v>
      </c>
      <c r="G277" s="48" t="s">
        <v>1</v>
      </c>
      <c r="H277" s="48" t="s">
        <v>3</v>
      </c>
      <c r="I277" s="47" t="s">
        <v>28</v>
      </c>
      <c r="J277" s="57">
        <v>46082</v>
      </c>
      <c r="K277" s="45"/>
    </row>
    <row r="278" spans="3:11" x14ac:dyDescent="0.2">
      <c r="C278" s="48">
        <v>1159</v>
      </c>
      <c r="D278" s="48" t="s">
        <v>14</v>
      </c>
      <c r="E278" s="48">
        <v>1160</v>
      </c>
      <c r="F278" s="48" t="s">
        <v>13</v>
      </c>
      <c r="G278" s="48" t="s">
        <v>1</v>
      </c>
      <c r="H278" s="48" t="s">
        <v>3</v>
      </c>
      <c r="I278" s="47" t="s">
        <v>27</v>
      </c>
      <c r="J278" s="57">
        <v>46082</v>
      </c>
      <c r="K278" s="45">
        <v>5531.7551999999996</v>
      </c>
    </row>
    <row r="279" spans="3:11" x14ac:dyDescent="0.2">
      <c r="C279" s="48">
        <v>1159</v>
      </c>
      <c r="D279" s="48" t="s">
        <v>14</v>
      </c>
      <c r="E279" s="48">
        <v>1160</v>
      </c>
      <c r="F279" s="48" t="s">
        <v>13</v>
      </c>
      <c r="G279" s="48" t="s">
        <v>1</v>
      </c>
      <c r="H279" s="48" t="s">
        <v>3</v>
      </c>
      <c r="I279" s="47" t="s">
        <v>26</v>
      </c>
      <c r="J279" s="57">
        <v>46082</v>
      </c>
      <c r="K279" s="45">
        <v>153.78279455999999</v>
      </c>
    </row>
    <row r="280" spans="3:11" x14ac:dyDescent="0.2">
      <c r="C280" s="48">
        <v>1159</v>
      </c>
      <c r="D280" s="48" t="s">
        <v>14</v>
      </c>
      <c r="E280" s="48">
        <v>1160</v>
      </c>
      <c r="F280" s="48" t="s">
        <v>13</v>
      </c>
      <c r="G280" s="48" t="s">
        <v>1</v>
      </c>
      <c r="H280" s="48" t="s">
        <v>3</v>
      </c>
      <c r="I280" s="47" t="s">
        <v>25</v>
      </c>
      <c r="J280" s="57">
        <v>46082</v>
      </c>
      <c r="K280" s="45">
        <v>460.79520816000002</v>
      </c>
    </row>
    <row r="281" spans="3:11" x14ac:dyDescent="0.2">
      <c r="C281" s="48">
        <v>1159</v>
      </c>
      <c r="D281" s="48" t="s">
        <v>14</v>
      </c>
      <c r="E281" s="48">
        <v>1160</v>
      </c>
      <c r="F281" s="48" t="s">
        <v>13</v>
      </c>
      <c r="G281" s="48" t="s">
        <v>1</v>
      </c>
      <c r="H281" s="48" t="s">
        <v>3</v>
      </c>
      <c r="I281" s="47" t="s">
        <v>24</v>
      </c>
      <c r="J281" s="57">
        <v>46082</v>
      </c>
      <c r="K281" s="45">
        <v>6084.9307200000003</v>
      </c>
    </row>
    <row r="282" spans="3:11" x14ac:dyDescent="0.2">
      <c r="C282" s="48">
        <v>1159</v>
      </c>
      <c r="D282" s="48" t="s">
        <v>14</v>
      </c>
      <c r="E282" s="48">
        <v>1160</v>
      </c>
      <c r="F282" s="48" t="s">
        <v>13</v>
      </c>
      <c r="G282" s="48" t="s">
        <v>1</v>
      </c>
      <c r="H282" s="48" t="s">
        <v>3</v>
      </c>
      <c r="I282" s="47" t="s">
        <v>23</v>
      </c>
      <c r="J282" s="57">
        <v>46082</v>
      </c>
      <c r="K282" s="45">
        <v>169.16107401600001</v>
      </c>
    </row>
    <row r="283" spans="3:11" x14ac:dyDescent="0.2">
      <c r="C283" s="48">
        <v>1159</v>
      </c>
      <c r="D283" s="48" t="s">
        <v>14</v>
      </c>
      <c r="E283" s="48">
        <v>1160</v>
      </c>
      <c r="F283" s="48" t="s">
        <v>13</v>
      </c>
      <c r="G283" s="48" t="s">
        <v>1</v>
      </c>
      <c r="H283" s="48" t="s">
        <v>3</v>
      </c>
      <c r="I283" s="47" t="s">
        <v>22</v>
      </c>
      <c r="J283" s="57">
        <v>46082</v>
      </c>
      <c r="K283" s="45">
        <v>192.22849319999997</v>
      </c>
    </row>
    <row r="284" spans="3:11" x14ac:dyDescent="0.2">
      <c r="C284" s="48">
        <v>1159</v>
      </c>
      <c r="D284" s="48" t="s">
        <v>14</v>
      </c>
      <c r="E284" s="48">
        <v>1160</v>
      </c>
      <c r="F284" s="48" t="s">
        <v>13</v>
      </c>
      <c r="G284" s="48" t="s">
        <v>1</v>
      </c>
      <c r="H284" s="48" t="s">
        <v>3</v>
      </c>
      <c r="I284" s="47" t="s">
        <v>21</v>
      </c>
      <c r="J284" s="57">
        <v>46082</v>
      </c>
      <c r="K284" s="45">
        <v>506.87472897600003</v>
      </c>
    </row>
    <row r="285" spans="3:11" x14ac:dyDescent="0.2">
      <c r="C285" s="48">
        <v>1159</v>
      </c>
      <c r="D285" s="48" t="s">
        <v>14</v>
      </c>
      <c r="E285" s="48">
        <v>1160</v>
      </c>
      <c r="F285" s="48" t="s">
        <v>13</v>
      </c>
      <c r="G285" s="48" t="s">
        <v>1</v>
      </c>
      <c r="H285" s="48" t="s">
        <v>3</v>
      </c>
      <c r="I285" s="47" t="s">
        <v>20</v>
      </c>
      <c r="J285" s="57">
        <v>46082</v>
      </c>
      <c r="K285" s="45">
        <v>575.99401019999993</v>
      </c>
    </row>
    <row r="286" spans="3:11" x14ac:dyDescent="0.2">
      <c r="C286" s="48">
        <v>1159</v>
      </c>
      <c r="D286" s="48" t="s">
        <v>14</v>
      </c>
      <c r="E286" s="48">
        <v>1160</v>
      </c>
      <c r="F286" s="48" t="s">
        <v>13</v>
      </c>
      <c r="G286" s="48" t="s">
        <v>1</v>
      </c>
      <c r="H286" s="48" t="s">
        <v>3</v>
      </c>
      <c r="I286" s="47" t="s">
        <v>19</v>
      </c>
      <c r="J286" s="57">
        <v>46082</v>
      </c>
      <c r="K286" s="45">
        <v>6914.6939999999995</v>
      </c>
    </row>
    <row r="287" spans="3:11" x14ac:dyDescent="0.2">
      <c r="C287" s="48">
        <v>1159</v>
      </c>
      <c r="D287" s="48" t="s">
        <v>14</v>
      </c>
      <c r="E287" s="48">
        <v>1160</v>
      </c>
      <c r="F287" s="48" t="s">
        <v>13</v>
      </c>
      <c r="G287" s="48" t="s">
        <v>1</v>
      </c>
      <c r="H287" s="48" t="s">
        <v>3</v>
      </c>
      <c r="I287" s="47" t="s">
        <v>18</v>
      </c>
      <c r="J287" s="57">
        <v>46082</v>
      </c>
      <c r="K287" s="45">
        <v>67636.28</v>
      </c>
    </row>
    <row r="288" spans="3:11" x14ac:dyDescent="0.2">
      <c r="C288" s="48">
        <v>1159</v>
      </c>
      <c r="D288" s="48" t="s">
        <v>14</v>
      </c>
      <c r="E288" s="48">
        <v>1160</v>
      </c>
      <c r="F288" s="48" t="s">
        <v>13</v>
      </c>
      <c r="G288" s="48" t="s">
        <v>1</v>
      </c>
      <c r="H288" s="48" t="s">
        <v>3</v>
      </c>
      <c r="I288" s="47" t="s">
        <v>17</v>
      </c>
      <c r="J288" s="57">
        <v>46082</v>
      </c>
      <c r="K288" s="45">
        <v>192.72000000000003</v>
      </c>
    </row>
    <row r="289" spans="3:11" x14ac:dyDescent="0.2">
      <c r="C289" s="48">
        <v>1159</v>
      </c>
      <c r="D289" s="48" t="s">
        <v>14</v>
      </c>
      <c r="E289" s="48">
        <v>1160</v>
      </c>
      <c r="F289" s="48" t="s">
        <v>13</v>
      </c>
      <c r="G289" s="48" t="s">
        <v>1</v>
      </c>
      <c r="H289" s="48" t="s">
        <v>3</v>
      </c>
      <c r="I289" s="47" t="s">
        <v>12</v>
      </c>
      <c r="J289" s="57">
        <v>46082</v>
      </c>
      <c r="K289" s="45">
        <v>9240</v>
      </c>
    </row>
    <row r="290" spans="3:11" x14ac:dyDescent="0.2">
      <c r="C290" s="48">
        <v>1159</v>
      </c>
      <c r="D290" s="48" t="s">
        <v>14</v>
      </c>
      <c r="E290" s="48">
        <v>1160</v>
      </c>
      <c r="F290" s="48" t="s">
        <v>13</v>
      </c>
      <c r="G290" s="48" t="s">
        <v>1</v>
      </c>
      <c r="H290" s="48" t="s">
        <v>3</v>
      </c>
      <c r="I290" s="47" t="s">
        <v>16</v>
      </c>
      <c r="J290" s="57">
        <v>46082</v>
      </c>
      <c r="K290" s="45">
        <v>514.08000000000004</v>
      </c>
    </row>
    <row r="291" spans="3:11" x14ac:dyDescent="0.2">
      <c r="C291" s="48">
        <v>1000</v>
      </c>
      <c r="D291" s="48" t="s">
        <v>70</v>
      </c>
      <c r="E291" s="48">
        <v>1003</v>
      </c>
      <c r="F291" s="48" t="s">
        <v>72</v>
      </c>
      <c r="G291" s="48" t="s">
        <v>1</v>
      </c>
      <c r="H291" s="48" t="s">
        <v>72</v>
      </c>
      <c r="I291" s="47" t="s">
        <v>74</v>
      </c>
      <c r="J291" s="57">
        <v>46113</v>
      </c>
      <c r="K291" s="45">
        <v>20000</v>
      </c>
    </row>
    <row r="292" spans="3:11" x14ac:dyDescent="0.2">
      <c r="C292" s="48">
        <v>1000</v>
      </c>
      <c r="D292" s="48" t="s">
        <v>70</v>
      </c>
      <c r="E292" s="48">
        <v>1003</v>
      </c>
      <c r="F292" s="48" t="s">
        <v>72</v>
      </c>
      <c r="G292" s="48" t="s">
        <v>1</v>
      </c>
      <c r="H292" s="48" t="s">
        <v>72</v>
      </c>
      <c r="I292" s="47" t="s">
        <v>73</v>
      </c>
      <c r="J292" s="57">
        <v>46113</v>
      </c>
      <c r="K292" s="45">
        <v>600</v>
      </c>
    </row>
    <row r="293" spans="3:11" x14ac:dyDescent="0.2">
      <c r="C293" s="48">
        <v>1000</v>
      </c>
      <c r="D293" s="48" t="s">
        <v>70</v>
      </c>
      <c r="E293" s="48">
        <v>1003</v>
      </c>
      <c r="F293" s="48" t="s">
        <v>72</v>
      </c>
      <c r="G293" s="48" t="s">
        <v>1</v>
      </c>
      <c r="H293" s="48" t="s">
        <v>72</v>
      </c>
      <c r="I293" s="47" t="s">
        <v>71</v>
      </c>
      <c r="J293" s="57">
        <v>46113</v>
      </c>
      <c r="K293" s="45">
        <v>10000</v>
      </c>
    </row>
    <row r="294" spans="3:11" x14ac:dyDescent="0.2">
      <c r="C294" s="48">
        <v>1159</v>
      </c>
      <c r="D294" s="48" t="s">
        <v>14</v>
      </c>
      <c r="E294" s="48">
        <v>1150</v>
      </c>
      <c r="F294" s="48" t="s">
        <v>15</v>
      </c>
      <c r="G294" s="48" t="s">
        <v>1</v>
      </c>
      <c r="H294" s="48" t="s">
        <v>132</v>
      </c>
      <c r="I294" s="47" t="s">
        <v>43</v>
      </c>
      <c r="J294" s="57">
        <v>46113</v>
      </c>
      <c r="K294" s="45">
        <v>200</v>
      </c>
    </row>
    <row r="295" spans="3:11" x14ac:dyDescent="0.2">
      <c r="C295" s="48">
        <v>1159</v>
      </c>
      <c r="D295" s="48" t="s">
        <v>14</v>
      </c>
      <c r="E295" s="48">
        <v>1150</v>
      </c>
      <c r="F295" s="48" t="s">
        <v>15</v>
      </c>
      <c r="G295" s="48" t="s">
        <v>1</v>
      </c>
      <c r="H295" s="48" t="s">
        <v>0</v>
      </c>
      <c r="I295" s="47" t="s">
        <v>51</v>
      </c>
      <c r="J295" s="57">
        <v>46113</v>
      </c>
      <c r="K295" s="45">
        <v>5000</v>
      </c>
    </row>
    <row r="296" spans="3:11" x14ac:dyDescent="0.2">
      <c r="C296" s="48">
        <v>1159</v>
      </c>
      <c r="D296" s="48" t="s">
        <v>14</v>
      </c>
      <c r="E296" s="48">
        <v>1150</v>
      </c>
      <c r="F296" s="48" t="s">
        <v>15</v>
      </c>
      <c r="G296" s="48" t="s">
        <v>1</v>
      </c>
      <c r="H296" s="48" t="s">
        <v>0</v>
      </c>
      <c r="I296" s="47" t="s">
        <v>447</v>
      </c>
      <c r="J296" s="57">
        <v>46113</v>
      </c>
      <c r="K296" s="45">
        <v>3023.6305000000002</v>
      </c>
    </row>
    <row r="297" spans="3:11" x14ac:dyDescent="0.2">
      <c r="C297" s="48">
        <v>1159</v>
      </c>
      <c r="D297" s="48" t="s">
        <v>14</v>
      </c>
      <c r="E297" s="48">
        <v>1150</v>
      </c>
      <c r="F297" s="48" t="s">
        <v>15</v>
      </c>
      <c r="G297" s="48" t="s">
        <v>1</v>
      </c>
      <c r="H297" s="48" t="s">
        <v>66</v>
      </c>
      <c r="I297" s="47" t="s">
        <v>67</v>
      </c>
      <c r="J297" s="57">
        <v>46113</v>
      </c>
      <c r="K297" s="45">
        <v>140000</v>
      </c>
    </row>
    <row r="298" spans="3:11" x14ac:dyDescent="0.2">
      <c r="C298" s="48">
        <v>1159</v>
      </c>
      <c r="D298" s="48" t="s">
        <v>14</v>
      </c>
      <c r="E298" s="48">
        <v>1150</v>
      </c>
      <c r="F298" s="48" t="s">
        <v>15</v>
      </c>
      <c r="G298" s="48" t="s">
        <v>1</v>
      </c>
      <c r="H298" s="48" t="s">
        <v>66</v>
      </c>
      <c r="I298" s="47" t="s">
        <v>68</v>
      </c>
      <c r="J298" s="57">
        <v>46113</v>
      </c>
      <c r="K298" s="45">
        <v>100000</v>
      </c>
    </row>
    <row r="299" spans="3:11" x14ac:dyDescent="0.2">
      <c r="C299" s="48">
        <v>1159</v>
      </c>
      <c r="D299" s="48" t="s">
        <v>14</v>
      </c>
      <c r="E299" s="48">
        <v>1150</v>
      </c>
      <c r="F299" s="48" t="s">
        <v>15</v>
      </c>
      <c r="G299" s="48" t="s">
        <v>1</v>
      </c>
      <c r="H299" s="48" t="s">
        <v>66</v>
      </c>
      <c r="I299" s="47" t="s">
        <v>69</v>
      </c>
      <c r="J299" s="57">
        <v>46113</v>
      </c>
      <c r="K299" s="45">
        <v>10000</v>
      </c>
    </row>
    <row r="300" spans="3:11" x14ac:dyDescent="0.2">
      <c r="C300" s="48">
        <v>1159</v>
      </c>
      <c r="D300" s="48" t="s">
        <v>14</v>
      </c>
      <c r="E300" s="48">
        <v>1150</v>
      </c>
      <c r="F300" s="48" t="s">
        <v>15</v>
      </c>
      <c r="G300" s="48" t="s">
        <v>1</v>
      </c>
      <c r="H300" s="48" t="s">
        <v>66</v>
      </c>
      <c r="I300" s="47" t="s">
        <v>65</v>
      </c>
      <c r="J300" s="57">
        <v>46113</v>
      </c>
      <c r="K300" s="45">
        <v>24671.843625000001</v>
      </c>
    </row>
    <row r="301" spans="3:11" x14ac:dyDescent="0.2">
      <c r="C301" s="48">
        <v>1159</v>
      </c>
      <c r="D301" s="48" t="s">
        <v>14</v>
      </c>
      <c r="E301" s="48">
        <v>1150</v>
      </c>
      <c r="F301" s="48" t="s">
        <v>15</v>
      </c>
      <c r="G301" s="48" t="s">
        <v>1</v>
      </c>
      <c r="H301" s="48" t="s">
        <v>46</v>
      </c>
      <c r="I301" s="47" t="s">
        <v>48</v>
      </c>
      <c r="J301" s="57">
        <v>46113</v>
      </c>
      <c r="K301" s="45">
        <v>5000</v>
      </c>
    </row>
    <row r="302" spans="3:11" x14ac:dyDescent="0.2">
      <c r="C302" s="48">
        <v>1159</v>
      </c>
      <c r="D302" s="48" t="s">
        <v>14</v>
      </c>
      <c r="E302" s="48">
        <v>1150</v>
      </c>
      <c r="F302" s="48" t="s">
        <v>15</v>
      </c>
      <c r="G302" s="48" t="s">
        <v>1</v>
      </c>
      <c r="H302" s="48" t="s">
        <v>41</v>
      </c>
      <c r="I302" s="47" t="s">
        <v>40</v>
      </c>
      <c r="J302" s="57">
        <v>46113</v>
      </c>
      <c r="K302" s="45">
        <v>1000</v>
      </c>
    </row>
    <row r="303" spans="3:11" x14ac:dyDescent="0.2">
      <c r="C303" s="48">
        <v>1159</v>
      </c>
      <c r="D303" s="48" t="s">
        <v>14</v>
      </c>
      <c r="E303" s="48">
        <v>1150</v>
      </c>
      <c r="F303" s="48" t="s">
        <v>15</v>
      </c>
      <c r="G303" s="48" t="s">
        <v>1</v>
      </c>
      <c r="H303" s="48" t="s">
        <v>132</v>
      </c>
      <c r="I303" s="47" t="s">
        <v>47</v>
      </c>
      <c r="J303" s="57">
        <v>46113</v>
      </c>
      <c r="K303" s="45">
        <v>120</v>
      </c>
    </row>
    <row r="304" spans="3:11" x14ac:dyDescent="0.2">
      <c r="C304" s="48">
        <v>1159</v>
      </c>
      <c r="D304" s="48" t="s">
        <v>14</v>
      </c>
      <c r="E304" s="48">
        <v>1150</v>
      </c>
      <c r="F304" s="48" t="s">
        <v>15</v>
      </c>
      <c r="G304" s="48" t="s">
        <v>1</v>
      </c>
      <c r="H304" s="48" t="s">
        <v>46</v>
      </c>
      <c r="I304" s="47" t="s">
        <v>64</v>
      </c>
      <c r="J304" s="57">
        <v>46113</v>
      </c>
      <c r="K304" s="45"/>
    </row>
    <row r="305" spans="3:11" x14ac:dyDescent="0.2">
      <c r="C305" s="48">
        <v>1159</v>
      </c>
      <c r="D305" s="48" t="s">
        <v>14</v>
      </c>
      <c r="E305" s="48">
        <v>1150</v>
      </c>
      <c r="F305" s="48" t="s">
        <v>15</v>
      </c>
      <c r="G305" s="48" t="s">
        <v>1</v>
      </c>
      <c r="H305" s="48" t="s">
        <v>46</v>
      </c>
      <c r="I305" s="47" t="s">
        <v>63</v>
      </c>
      <c r="J305" s="57">
        <v>46113</v>
      </c>
      <c r="K305" s="45"/>
    </row>
    <row r="306" spans="3:11" x14ac:dyDescent="0.2">
      <c r="C306" s="48">
        <v>1159</v>
      </c>
      <c r="D306" s="48" t="s">
        <v>14</v>
      </c>
      <c r="E306" s="48">
        <v>1150</v>
      </c>
      <c r="F306" s="48" t="s">
        <v>15</v>
      </c>
      <c r="G306" s="48" t="s">
        <v>1</v>
      </c>
      <c r="H306" s="48" t="s">
        <v>46</v>
      </c>
      <c r="I306" s="47" t="s">
        <v>444</v>
      </c>
      <c r="J306" s="57">
        <v>46113</v>
      </c>
      <c r="K306" s="45">
        <v>0</v>
      </c>
    </row>
    <row r="307" spans="3:11" x14ac:dyDescent="0.2">
      <c r="C307" s="48">
        <v>1159</v>
      </c>
      <c r="D307" s="48" t="s">
        <v>14</v>
      </c>
      <c r="E307" s="48">
        <v>1150</v>
      </c>
      <c r="F307" s="48" t="s">
        <v>15</v>
      </c>
      <c r="G307" s="48" t="s">
        <v>1</v>
      </c>
      <c r="H307" s="48" t="s">
        <v>66</v>
      </c>
      <c r="I307" s="47" t="s">
        <v>65</v>
      </c>
      <c r="J307" s="57">
        <v>46113</v>
      </c>
      <c r="K307" s="45">
        <v>5000</v>
      </c>
    </row>
    <row r="308" spans="3:11" x14ac:dyDescent="0.2">
      <c r="C308" s="48">
        <v>1159</v>
      </c>
      <c r="D308" s="48" t="s">
        <v>14</v>
      </c>
      <c r="E308" s="48">
        <v>1159</v>
      </c>
      <c r="F308" s="48" t="s">
        <v>14</v>
      </c>
      <c r="G308" s="48" t="s">
        <v>1</v>
      </c>
      <c r="H308" s="48" t="s">
        <v>132</v>
      </c>
      <c r="I308" s="47" t="s">
        <v>43</v>
      </c>
      <c r="J308" s="57">
        <v>46113</v>
      </c>
      <c r="K308" s="45">
        <v>37.5</v>
      </c>
    </row>
    <row r="309" spans="3:11" x14ac:dyDescent="0.2">
      <c r="C309" s="48">
        <v>1159</v>
      </c>
      <c r="D309" s="48" t="s">
        <v>14</v>
      </c>
      <c r="E309" s="48">
        <v>1159</v>
      </c>
      <c r="F309" s="48" t="s">
        <v>14</v>
      </c>
      <c r="G309" s="48" t="s">
        <v>1</v>
      </c>
      <c r="H309" s="48" t="s">
        <v>50</v>
      </c>
      <c r="I309" s="47" t="s">
        <v>49</v>
      </c>
      <c r="J309" s="57">
        <v>46113</v>
      </c>
      <c r="K309" s="45">
        <v>524.68212500000004</v>
      </c>
    </row>
    <row r="310" spans="3:11" x14ac:dyDescent="0.2">
      <c r="C310" s="48">
        <v>1159</v>
      </c>
      <c r="D310" s="48" t="s">
        <v>14</v>
      </c>
      <c r="E310" s="48">
        <v>1159</v>
      </c>
      <c r="F310" s="48" t="s">
        <v>14</v>
      </c>
      <c r="G310" s="48" t="s">
        <v>1</v>
      </c>
      <c r="H310" s="48" t="s">
        <v>66</v>
      </c>
      <c r="I310" s="47" t="s">
        <v>65</v>
      </c>
      <c r="J310" s="57">
        <v>46113</v>
      </c>
      <c r="K310" s="45">
        <v>2000</v>
      </c>
    </row>
    <row r="311" spans="3:11" x14ac:dyDescent="0.2">
      <c r="C311" s="48">
        <v>1159</v>
      </c>
      <c r="D311" s="48" t="s">
        <v>14</v>
      </c>
      <c r="E311" s="48">
        <v>1159</v>
      </c>
      <c r="F311" s="48" t="s">
        <v>14</v>
      </c>
      <c r="G311" s="48" t="s">
        <v>1</v>
      </c>
      <c r="H311" s="48" t="s">
        <v>57</v>
      </c>
      <c r="I311" s="47" t="s">
        <v>60</v>
      </c>
      <c r="J311" s="57">
        <v>46113</v>
      </c>
      <c r="K311" s="45">
        <v>2402.321625</v>
      </c>
    </row>
    <row r="312" spans="3:11" x14ac:dyDescent="0.2">
      <c r="C312" s="48">
        <v>1159</v>
      </c>
      <c r="D312" s="48" t="s">
        <v>14</v>
      </c>
      <c r="E312" s="48">
        <v>1159</v>
      </c>
      <c r="F312" s="48" t="s">
        <v>14</v>
      </c>
      <c r="G312" s="48" t="s">
        <v>1</v>
      </c>
      <c r="H312" s="48" t="s">
        <v>57</v>
      </c>
      <c r="I312" s="47" t="s">
        <v>59</v>
      </c>
      <c r="J312" s="57">
        <v>46113</v>
      </c>
      <c r="K312" s="45">
        <v>6544.64</v>
      </c>
    </row>
    <row r="313" spans="3:11" x14ac:dyDescent="0.2">
      <c r="C313" s="48">
        <v>1159</v>
      </c>
      <c r="D313" s="48" t="s">
        <v>14</v>
      </c>
      <c r="E313" s="48">
        <v>1159</v>
      </c>
      <c r="F313" s="48" t="s">
        <v>14</v>
      </c>
      <c r="G313" s="48" t="s">
        <v>1</v>
      </c>
      <c r="H313" s="48" t="s">
        <v>57</v>
      </c>
      <c r="I313" s="47" t="s">
        <v>453</v>
      </c>
      <c r="J313" s="57">
        <v>46113</v>
      </c>
      <c r="K313" s="45"/>
    </row>
    <row r="314" spans="3:11" x14ac:dyDescent="0.2">
      <c r="C314" s="48">
        <v>1159</v>
      </c>
      <c r="D314" s="48" t="s">
        <v>14</v>
      </c>
      <c r="E314" s="48">
        <v>1159</v>
      </c>
      <c r="F314" s="48" t="s">
        <v>14</v>
      </c>
      <c r="G314" s="48" t="s">
        <v>1</v>
      </c>
      <c r="H314" s="48" t="s">
        <v>41</v>
      </c>
      <c r="I314" s="47" t="s">
        <v>55</v>
      </c>
      <c r="J314" s="57">
        <v>46113</v>
      </c>
      <c r="K314" s="45">
        <v>4940.6046249999999</v>
      </c>
    </row>
    <row r="315" spans="3:11" x14ac:dyDescent="0.2">
      <c r="C315" s="48">
        <v>1159</v>
      </c>
      <c r="D315" s="48" t="s">
        <v>14</v>
      </c>
      <c r="E315" s="48">
        <v>1159</v>
      </c>
      <c r="F315" s="48" t="s">
        <v>14</v>
      </c>
      <c r="G315" s="48" t="s">
        <v>1</v>
      </c>
      <c r="H315" s="48" t="s">
        <v>41</v>
      </c>
      <c r="I315" s="47" t="s">
        <v>138</v>
      </c>
      <c r="J315" s="57">
        <v>46113</v>
      </c>
      <c r="K315" s="45">
        <v>6000</v>
      </c>
    </row>
    <row r="316" spans="3:11" x14ac:dyDescent="0.2">
      <c r="C316" s="48">
        <v>1159</v>
      </c>
      <c r="D316" s="48" t="s">
        <v>14</v>
      </c>
      <c r="E316" s="48">
        <v>1159</v>
      </c>
      <c r="F316" s="48" t="s">
        <v>14</v>
      </c>
      <c r="G316" s="48" t="s">
        <v>1</v>
      </c>
      <c r="H316" s="48" t="s">
        <v>57</v>
      </c>
      <c r="I316" s="47" t="s">
        <v>56</v>
      </c>
      <c r="J316" s="57">
        <v>46113</v>
      </c>
      <c r="K316" s="45">
        <v>1000</v>
      </c>
    </row>
    <row r="317" spans="3:11" x14ac:dyDescent="0.2">
      <c r="C317" s="48">
        <v>1159</v>
      </c>
      <c r="D317" s="48" t="s">
        <v>14</v>
      </c>
      <c r="E317" s="48">
        <v>1159</v>
      </c>
      <c r="F317" s="48" t="s">
        <v>14</v>
      </c>
      <c r="G317" s="48" t="s">
        <v>1</v>
      </c>
      <c r="H317" s="48" t="s">
        <v>41</v>
      </c>
      <c r="I317" s="47" t="s">
        <v>52</v>
      </c>
      <c r="J317" s="57">
        <v>46113</v>
      </c>
      <c r="K317" s="45">
        <v>725.81024999999988</v>
      </c>
    </row>
    <row r="318" spans="3:11" x14ac:dyDescent="0.2">
      <c r="C318" s="48">
        <v>1159</v>
      </c>
      <c r="D318" s="48" t="s">
        <v>14</v>
      </c>
      <c r="E318" s="48">
        <v>1159</v>
      </c>
      <c r="F318" s="48" t="s">
        <v>14</v>
      </c>
      <c r="G318" s="48" t="s">
        <v>1</v>
      </c>
      <c r="H318" s="48" t="s">
        <v>41</v>
      </c>
      <c r="I318" s="47" t="s">
        <v>40</v>
      </c>
      <c r="J318" s="57">
        <v>46113</v>
      </c>
      <c r="K318" s="45">
        <v>600</v>
      </c>
    </row>
    <row r="319" spans="3:11" x14ac:dyDescent="0.2">
      <c r="C319" s="48">
        <v>1159</v>
      </c>
      <c r="D319" s="48" t="s">
        <v>14</v>
      </c>
      <c r="E319" s="48">
        <v>1160</v>
      </c>
      <c r="F319" s="48" t="s">
        <v>13</v>
      </c>
      <c r="G319" s="48" t="s">
        <v>1</v>
      </c>
      <c r="H319" s="48" t="s">
        <v>132</v>
      </c>
      <c r="I319" s="47" t="s">
        <v>43</v>
      </c>
      <c r="J319" s="57">
        <v>46113</v>
      </c>
      <c r="K319" s="45">
        <v>137.5</v>
      </c>
    </row>
    <row r="320" spans="3:11" x14ac:dyDescent="0.2">
      <c r="C320" s="48">
        <v>1159</v>
      </c>
      <c r="D320" s="48" t="s">
        <v>14</v>
      </c>
      <c r="E320" s="48">
        <v>1160</v>
      </c>
      <c r="F320" s="48" t="s">
        <v>13</v>
      </c>
      <c r="G320" s="48" t="s">
        <v>1</v>
      </c>
      <c r="H320" s="48" t="s">
        <v>0</v>
      </c>
      <c r="I320" s="47" t="s">
        <v>51</v>
      </c>
      <c r="J320" s="57">
        <v>46113</v>
      </c>
      <c r="K320" s="45">
        <v>30000</v>
      </c>
    </row>
    <row r="321" spans="3:11" x14ac:dyDescent="0.2">
      <c r="C321" s="48">
        <v>1159</v>
      </c>
      <c r="D321" s="48" t="s">
        <v>14</v>
      </c>
      <c r="E321" s="48">
        <v>1160</v>
      </c>
      <c r="F321" s="48" t="s">
        <v>13</v>
      </c>
      <c r="G321" s="48" t="s">
        <v>1</v>
      </c>
      <c r="H321" s="48" t="s">
        <v>66</v>
      </c>
      <c r="I321" s="47" t="s">
        <v>68</v>
      </c>
      <c r="J321" s="57">
        <v>46113</v>
      </c>
      <c r="K321" s="45">
        <v>10000</v>
      </c>
    </row>
    <row r="322" spans="3:11" x14ac:dyDescent="0.2">
      <c r="C322" s="48">
        <v>1159</v>
      </c>
      <c r="D322" s="48" t="s">
        <v>14</v>
      </c>
      <c r="E322" s="48">
        <v>1160</v>
      </c>
      <c r="F322" s="48" t="s">
        <v>13</v>
      </c>
      <c r="G322" s="48" t="s">
        <v>1</v>
      </c>
      <c r="H322" s="48" t="s">
        <v>66</v>
      </c>
      <c r="I322" s="47" t="s">
        <v>67</v>
      </c>
      <c r="J322" s="57">
        <v>46113</v>
      </c>
      <c r="K322" s="45">
        <v>7000</v>
      </c>
    </row>
    <row r="323" spans="3:11" x14ac:dyDescent="0.2">
      <c r="C323" s="48">
        <v>1159</v>
      </c>
      <c r="D323" s="48" t="s">
        <v>14</v>
      </c>
      <c r="E323" s="48">
        <v>1160</v>
      </c>
      <c r="F323" s="48" t="s">
        <v>13</v>
      </c>
      <c r="G323" s="48" t="s">
        <v>1</v>
      </c>
      <c r="H323" s="48" t="s">
        <v>66</v>
      </c>
      <c r="I323" s="47" t="s">
        <v>65</v>
      </c>
      <c r="J323" s="57">
        <v>46113</v>
      </c>
      <c r="K323" s="45">
        <v>5000</v>
      </c>
    </row>
    <row r="324" spans="3:11" x14ac:dyDescent="0.2">
      <c r="C324" s="48">
        <v>1159</v>
      </c>
      <c r="D324" s="48" t="s">
        <v>14</v>
      </c>
      <c r="E324" s="48">
        <v>1160</v>
      </c>
      <c r="F324" s="48" t="s">
        <v>13</v>
      </c>
      <c r="G324" s="48" t="s">
        <v>1</v>
      </c>
      <c r="H324" s="48" t="s">
        <v>46</v>
      </c>
      <c r="I324" s="47" t="s">
        <v>48</v>
      </c>
      <c r="J324" s="57">
        <v>46113</v>
      </c>
      <c r="K324" s="45">
        <v>21000</v>
      </c>
    </row>
    <row r="325" spans="3:11" x14ac:dyDescent="0.2">
      <c r="C325" s="48">
        <v>1159</v>
      </c>
      <c r="D325" s="48" t="s">
        <v>14</v>
      </c>
      <c r="E325" s="48">
        <v>1160</v>
      </c>
      <c r="F325" s="48" t="s">
        <v>13</v>
      </c>
      <c r="G325" s="48" t="s">
        <v>1</v>
      </c>
      <c r="H325" s="48" t="s">
        <v>41</v>
      </c>
      <c r="I325" s="47" t="s">
        <v>40</v>
      </c>
      <c r="J325" s="57">
        <v>46113</v>
      </c>
      <c r="K325" s="45">
        <v>300</v>
      </c>
    </row>
    <row r="326" spans="3:11" x14ac:dyDescent="0.2">
      <c r="C326" s="48">
        <v>1159</v>
      </c>
      <c r="D326" s="48" t="s">
        <v>14</v>
      </c>
      <c r="E326" s="48">
        <v>1150</v>
      </c>
      <c r="F326" s="48" t="s">
        <v>15</v>
      </c>
      <c r="G326" s="48" t="s">
        <v>1</v>
      </c>
      <c r="H326" s="48" t="s">
        <v>3</v>
      </c>
      <c r="I326" s="47" t="s">
        <v>39</v>
      </c>
      <c r="J326" s="57">
        <v>46113</v>
      </c>
      <c r="K326" s="45">
        <v>2065.9478260000001</v>
      </c>
    </row>
    <row r="327" spans="3:11" x14ac:dyDescent="0.2">
      <c r="C327" s="48">
        <v>1159</v>
      </c>
      <c r="D327" s="48" t="s">
        <v>14</v>
      </c>
      <c r="E327" s="48">
        <v>1150</v>
      </c>
      <c r="F327" s="48" t="s">
        <v>15</v>
      </c>
      <c r="G327" s="48" t="s">
        <v>1</v>
      </c>
      <c r="H327" s="48" t="s">
        <v>3</v>
      </c>
      <c r="I327" s="47" t="s">
        <v>32</v>
      </c>
      <c r="J327" s="57">
        <v>46113</v>
      </c>
      <c r="K327" s="45">
        <v>6190.4120109999985</v>
      </c>
    </row>
    <row r="328" spans="3:11" x14ac:dyDescent="0.2">
      <c r="C328" s="48">
        <v>1159</v>
      </c>
      <c r="D328" s="48" t="s">
        <v>14</v>
      </c>
      <c r="E328" s="48">
        <v>1150</v>
      </c>
      <c r="F328" s="48" t="s">
        <v>15</v>
      </c>
      <c r="G328" s="48" t="s">
        <v>1</v>
      </c>
      <c r="H328" s="48" t="s">
        <v>3</v>
      </c>
      <c r="I328" s="47" t="s">
        <v>42</v>
      </c>
      <c r="J328" s="57">
        <v>46113</v>
      </c>
      <c r="K328" s="45">
        <v>0</v>
      </c>
    </row>
    <row r="329" spans="3:11" x14ac:dyDescent="0.2">
      <c r="C329" s="48">
        <v>1159</v>
      </c>
      <c r="D329" s="48" t="s">
        <v>14</v>
      </c>
      <c r="E329" s="48">
        <v>1150</v>
      </c>
      <c r="F329" s="48" t="s">
        <v>15</v>
      </c>
      <c r="G329" s="48" t="s">
        <v>1</v>
      </c>
      <c r="H329" s="48" t="s">
        <v>3</v>
      </c>
      <c r="I329" s="47" t="s">
        <v>442</v>
      </c>
      <c r="J329" s="57">
        <v>46113</v>
      </c>
      <c r="K329" s="45">
        <v>9380.2799999999988</v>
      </c>
    </row>
    <row r="330" spans="3:11" x14ac:dyDescent="0.2">
      <c r="C330" s="48">
        <v>1159</v>
      </c>
      <c r="D330" s="48" t="s">
        <v>14</v>
      </c>
      <c r="E330" s="48">
        <v>1150</v>
      </c>
      <c r="F330" s="48" t="s">
        <v>15</v>
      </c>
      <c r="G330" s="48" t="s">
        <v>1</v>
      </c>
      <c r="H330" s="48" t="s">
        <v>3</v>
      </c>
      <c r="I330" s="47" t="s">
        <v>30</v>
      </c>
      <c r="J330" s="57">
        <v>46113</v>
      </c>
      <c r="K330" s="45">
        <v>375.18000000000006</v>
      </c>
    </row>
    <row r="331" spans="3:11" x14ac:dyDescent="0.2">
      <c r="C331" s="48">
        <v>1159</v>
      </c>
      <c r="D331" s="48" t="s">
        <v>14</v>
      </c>
      <c r="E331" s="48">
        <v>1150</v>
      </c>
      <c r="F331" s="48" t="s">
        <v>15</v>
      </c>
      <c r="G331" s="48" t="s">
        <v>1</v>
      </c>
      <c r="H331" s="48" t="s">
        <v>3</v>
      </c>
      <c r="I331" s="47" t="s">
        <v>29</v>
      </c>
      <c r="J331" s="57">
        <v>46113</v>
      </c>
      <c r="K331" s="45">
        <v>0</v>
      </c>
    </row>
    <row r="332" spans="3:11" x14ac:dyDescent="0.2">
      <c r="C332" s="48">
        <v>1159</v>
      </c>
      <c r="D332" s="48" t="s">
        <v>14</v>
      </c>
      <c r="E332" s="48">
        <v>1150</v>
      </c>
      <c r="F332" s="48" t="s">
        <v>15</v>
      </c>
      <c r="G332" s="48" t="s">
        <v>1</v>
      </c>
      <c r="H332" s="48" t="s">
        <v>3</v>
      </c>
      <c r="I332" s="47" t="s">
        <v>28</v>
      </c>
      <c r="J332" s="57">
        <v>46113</v>
      </c>
      <c r="K332" s="45">
        <v>15121.663411111111</v>
      </c>
    </row>
    <row r="333" spans="3:11" x14ac:dyDescent="0.2">
      <c r="C333" s="48">
        <v>1159</v>
      </c>
      <c r="D333" s="48" t="s">
        <v>14</v>
      </c>
      <c r="E333" s="48">
        <v>1150</v>
      </c>
      <c r="F333" s="48" t="s">
        <v>15</v>
      </c>
      <c r="G333" s="48" t="s">
        <v>1</v>
      </c>
      <c r="H333" s="48" t="s">
        <v>3</v>
      </c>
      <c r="I333" s="47" t="s">
        <v>27</v>
      </c>
      <c r="J333" s="57">
        <v>46113</v>
      </c>
      <c r="K333" s="45">
        <v>5945.1736000000001</v>
      </c>
    </row>
    <row r="334" spans="3:11" x14ac:dyDescent="0.2">
      <c r="C334" s="48">
        <v>1159</v>
      </c>
      <c r="D334" s="48" t="s">
        <v>14</v>
      </c>
      <c r="E334" s="48">
        <v>1150</v>
      </c>
      <c r="F334" s="48" t="s">
        <v>15</v>
      </c>
      <c r="G334" s="48" t="s">
        <v>1</v>
      </c>
      <c r="H334" s="48" t="s">
        <v>3</v>
      </c>
      <c r="I334" s="47" t="s">
        <v>26</v>
      </c>
      <c r="J334" s="57">
        <v>46113</v>
      </c>
      <c r="K334" s="45">
        <v>165.27582608</v>
      </c>
    </row>
    <row r="335" spans="3:11" x14ac:dyDescent="0.2">
      <c r="C335" s="48">
        <v>1159</v>
      </c>
      <c r="D335" s="48" t="s">
        <v>14</v>
      </c>
      <c r="E335" s="48">
        <v>1150</v>
      </c>
      <c r="F335" s="48" t="s">
        <v>15</v>
      </c>
      <c r="G335" s="48" t="s">
        <v>1</v>
      </c>
      <c r="H335" s="48" t="s">
        <v>3</v>
      </c>
      <c r="I335" s="47" t="s">
        <v>25</v>
      </c>
      <c r="J335" s="57">
        <v>46113</v>
      </c>
      <c r="K335" s="45">
        <v>495.23296088000006</v>
      </c>
    </row>
    <row r="336" spans="3:11" x14ac:dyDescent="0.2">
      <c r="C336" s="48">
        <v>1159</v>
      </c>
      <c r="D336" s="48" t="s">
        <v>14</v>
      </c>
      <c r="E336" s="48">
        <v>1150</v>
      </c>
      <c r="F336" s="48" t="s">
        <v>15</v>
      </c>
      <c r="G336" s="48" t="s">
        <v>1</v>
      </c>
      <c r="H336" s="48" t="s">
        <v>3</v>
      </c>
      <c r="I336" s="47" t="s">
        <v>24</v>
      </c>
      <c r="J336" s="57">
        <v>46113</v>
      </c>
      <c r="K336" s="45">
        <v>6539.6909600000008</v>
      </c>
    </row>
    <row r="337" spans="3:11" x14ac:dyDescent="0.2">
      <c r="C337" s="48">
        <v>1159</v>
      </c>
      <c r="D337" s="48" t="s">
        <v>14</v>
      </c>
      <c r="E337" s="48">
        <v>1150</v>
      </c>
      <c r="F337" s="48" t="s">
        <v>15</v>
      </c>
      <c r="G337" s="48" t="s">
        <v>1</v>
      </c>
      <c r="H337" s="48" t="s">
        <v>3</v>
      </c>
      <c r="I337" s="47" t="s">
        <v>23</v>
      </c>
      <c r="J337" s="57">
        <v>46113</v>
      </c>
      <c r="K337" s="45">
        <v>181.80340868800002</v>
      </c>
    </row>
    <row r="338" spans="3:11" x14ac:dyDescent="0.2">
      <c r="C338" s="48">
        <v>1159</v>
      </c>
      <c r="D338" s="48" t="s">
        <v>14</v>
      </c>
      <c r="E338" s="48">
        <v>1150</v>
      </c>
      <c r="F338" s="48" t="s">
        <v>15</v>
      </c>
      <c r="G338" s="48" t="s">
        <v>1</v>
      </c>
      <c r="H338" s="48" t="s">
        <v>3</v>
      </c>
      <c r="I338" s="47" t="s">
        <v>22</v>
      </c>
      <c r="J338" s="57">
        <v>46113</v>
      </c>
      <c r="K338" s="45">
        <v>206.5947826</v>
      </c>
    </row>
    <row r="339" spans="3:11" x14ac:dyDescent="0.2">
      <c r="C339" s="48">
        <v>1159</v>
      </c>
      <c r="D339" s="48" t="s">
        <v>14</v>
      </c>
      <c r="E339" s="48">
        <v>1150</v>
      </c>
      <c r="F339" s="48" t="s">
        <v>15</v>
      </c>
      <c r="G339" s="48" t="s">
        <v>1</v>
      </c>
      <c r="H339" s="48" t="s">
        <v>3</v>
      </c>
      <c r="I339" s="47" t="s">
        <v>21</v>
      </c>
      <c r="J339" s="57">
        <v>46113</v>
      </c>
      <c r="K339" s="45">
        <v>544.756256968</v>
      </c>
    </row>
    <row r="340" spans="3:11" x14ac:dyDescent="0.2">
      <c r="C340" s="48">
        <v>1159</v>
      </c>
      <c r="D340" s="48" t="s">
        <v>14</v>
      </c>
      <c r="E340" s="48">
        <v>1150</v>
      </c>
      <c r="F340" s="48" t="s">
        <v>15</v>
      </c>
      <c r="G340" s="48" t="s">
        <v>1</v>
      </c>
      <c r="H340" s="48" t="s">
        <v>3</v>
      </c>
      <c r="I340" s="47" t="s">
        <v>20</v>
      </c>
      <c r="J340" s="57">
        <v>46113</v>
      </c>
      <c r="K340" s="45">
        <v>619.04120110000008</v>
      </c>
    </row>
    <row r="341" spans="3:11" x14ac:dyDescent="0.2">
      <c r="C341" s="48">
        <v>1159</v>
      </c>
      <c r="D341" s="48" t="s">
        <v>14</v>
      </c>
      <c r="E341" s="48">
        <v>1150</v>
      </c>
      <c r="F341" s="48" t="s">
        <v>15</v>
      </c>
      <c r="G341" s="48" t="s">
        <v>1</v>
      </c>
      <c r="H341" s="48" t="s">
        <v>3</v>
      </c>
      <c r="I341" s="47" t="s">
        <v>19</v>
      </c>
      <c r="J341" s="57">
        <v>46113</v>
      </c>
      <c r="K341" s="45">
        <v>7431.4670000000006</v>
      </c>
    </row>
    <row r="342" spans="3:11" x14ac:dyDescent="0.2">
      <c r="C342" s="48">
        <v>1159</v>
      </c>
      <c r="D342" s="48" t="s">
        <v>14</v>
      </c>
      <c r="E342" s="48">
        <v>1150</v>
      </c>
      <c r="F342" s="48" t="s">
        <v>15</v>
      </c>
      <c r="G342" s="48" t="s">
        <v>1</v>
      </c>
      <c r="H342" s="48" t="s">
        <v>3</v>
      </c>
      <c r="I342" s="47" t="s">
        <v>18</v>
      </c>
      <c r="J342" s="57">
        <v>46113</v>
      </c>
      <c r="K342" s="45">
        <v>72484.428199999995</v>
      </c>
    </row>
    <row r="343" spans="3:11" x14ac:dyDescent="0.2">
      <c r="C343" s="48">
        <v>1159</v>
      </c>
      <c r="D343" s="48" t="s">
        <v>14</v>
      </c>
      <c r="E343" s="48">
        <v>1150</v>
      </c>
      <c r="F343" s="48" t="s">
        <v>15</v>
      </c>
      <c r="G343" s="48" t="s">
        <v>1</v>
      </c>
      <c r="H343" s="48" t="s">
        <v>3</v>
      </c>
      <c r="I343" s="47" t="s">
        <v>17</v>
      </c>
      <c r="J343" s="57">
        <v>46113</v>
      </c>
      <c r="K343" s="45">
        <v>210.24000000000004</v>
      </c>
    </row>
    <row r="344" spans="3:11" x14ac:dyDescent="0.2">
      <c r="C344" s="48">
        <v>1159</v>
      </c>
      <c r="D344" s="48" t="s">
        <v>14</v>
      </c>
      <c r="E344" s="48">
        <v>1150</v>
      </c>
      <c r="F344" s="48" t="s">
        <v>15</v>
      </c>
      <c r="G344" s="48" t="s">
        <v>1</v>
      </c>
      <c r="H344" s="48" t="s">
        <v>3</v>
      </c>
      <c r="I344" s="47" t="s">
        <v>12</v>
      </c>
      <c r="J344" s="57">
        <v>46113</v>
      </c>
      <c r="K344" s="45">
        <v>9975</v>
      </c>
    </row>
    <row r="345" spans="3:11" x14ac:dyDescent="0.2">
      <c r="C345" s="48">
        <v>1159</v>
      </c>
      <c r="D345" s="48" t="s">
        <v>14</v>
      </c>
      <c r="E345" s="48">
        <v>1150</v>
      </c>
      <c r="F345" s="48" t="s">
        <v>15</v>
      </c>
      <c r="G345" s="48" t="s">
        <v>1</v>
      </c>
      <c r="H345" s="48" t="s">
        <v>3</v>
      </c>
      <c r="I345" s="47" t="s">
        <v>16</v>
      </c>
      <c r="J345" s="57">
        <v>46113</v>
      </c>
      <c r="K345" s="45">
        <v>753.48</v>
      </c>
    </row>
    <row r="346" spans="3:11" x14ac:dyDescent="0.2">
      <c r="C346" s="48">
        <v>1159</v>
      </c>
      <c r="D346" s="48" t="s">
        <v>14</v>
      </c>
      <c r="E346" s="48">
        <v>1159</v>
      </c>
      <c r="F346" s="48" t="s">
        <v>14</v>
      </c>
      <c r="G346" s="48" t="s">
        <v>1</v>
      </c>
      <c r="H346" s="48" t="s">
        <v>3</v>
      </c>
      <c r="I346" s="47" t="s">
        <v>39</v>
      </c>
      <c r="J346" s="57">
        <v>46113</v>
      </c>
      <c r="K346" s="45">
        <v>1658.8415679999998</v>
      </c>
    </row>
    <row r="347" spans="3:11" x14ac:dyDescent="0.2">
      <c r="C347" s="48">
        <v>1159</v>
      </c>
      <c r="D347" s="48" t="s">
        <v>14</v>
      </c>
      <c r="E347" s="48">
        <v>1159</v>
      </c>
      <c r="F347" s="48" t="s">
        <v>14</v>
      </c>
      <c r="G347" s="48" t="s">
        <v>1</v>
      </c>
      <c r="H347" s="48" t="s">
        <v>3</v>
      </c>
      <c r="I347" s="47" t="s">
        <v>32</v>
      </c>
      <c r="J347" s="57">
        <v>46113</v>
      </c>
      <c r="K347" s="45">
        <v>4970.557648</v>
      </c>
    </row>
    <row r="348" spans="3:11" x14ac:dyDescent="0.2">
      <c r="C348" s="48">
        <v>1159</v>
      </c>
      <c r="D348" s="48" t="s">
        <v>14</v>
      </c>
      <c r="E348" s="48">
        <v>1159</v>
      </c>
      <c r="F348" s="48" t="s">
        <v>14</v>
      </c>
      <c r="G348" s="48" t="s">
        <v>1</v>
      </c>
      <c r="H348" s="48" t="s">
        <v>3</v>
      </c>
      <c r="I348" s="47" t="s">
        <v>42</v>
      </c>
      <c r="J348" s="57">
        <v>46113</v>
      </c>
      <c r="K348" s="45">
        <v>0</v>
      </c>
    </row>
    <row r="349" spans="3:11" x14ac:dyDescent="0.2">
      <c r="C349" s="48">
        <v>1159</v>
      </c>
      <c r="D349" s="48" t="s">
        <v>14</v>
      </c>
      <c r="E349" s="48">
        <v>1159</v>
      </c>
      <c r="F349" s="48" t="s">
        <v>14</v>
      </c>
      <c r="G349" s="48" t="s">
        <v>1</v>
      </c>
      <c r="H349" s="48" t="s">
        <v>3</v>
      </c>
      <c r="I349" s="47" t="s">
        <v>442</v>
      </c>
      <c r="J349" s="57">
        <v>46113</v>
      </c>
      <c r="K349" s="45">
        <v>2612.88</v>
      </c>
    </row>
    <row r="350" spans="3:11" x14ac:dyDescent="0.2">
      <c r="C350" s="48">
        <v>1159</v>
      </c>
      <c r="D350" s="48" t="s">
        <v>14</v>
      </c>
      <c r="E350" s="48">
        <v>1159</v>
      </c>
      <c r="F350" s="48" t="s">
        <v>14</v>
      </c>
      <c r="G350" s="48" t="s">
        <v>1</v>
      </c>
      <c r="H350" s="48" t="s">
        <v>3</v>
      </c>
      <c r="I350" s="47" t="s">
        <v>30</v>
      </c>
      <c r="J350" s="57">
        <v>46113</v>
      </c>
      <c r="K350" s="45">
        <v>86.58</v>
      </c>
    </row>
    <row r="351" spans="3:11" x14ac:dyDescent="0.2">
      <c r="C351" s="48">
        <v>1159</v>
      </c>
      <c r="D351" s="48" t="s">
        <v>14</v>
      </c>
      <c r="E351" s="48">
        <v>1159</v>
      </c>
      <c r="F351" s="48" t="s">
        <v>14</v>
      </c>
      <c r="G351" s="48" t="s">
        <v>1</v>
      </c>
      <c r="H351" s="48" t="s">
        <v>3</v>
      </c>
      <c r="I351" s="47" t="s">
        <v>29</v>
      </c>
      <c r="J351" s="57">
        <v>46113</v>
      </c>
      <c r="K351" s="45">
        <v>0</v>
      </c>
    </row>
    <row r="352" spans="3:11" x14ac:dyDescent="0.2">
      <c r="C352" s="48">
        <v>1159</v>
      </c>
      <c r="D352" s="48" t="s">
        <v>14</v>
      </c>
      <c r="E352" s="48">
        <v>1159</v>
      </c>
      <c r="F352" s="48" t="s">
        <v>14</v>
      </c>
      <c r="G352" s="48" t="s">
        <v>1</v>
      </c>
      <c r="H352" s="48" t="s">
        <v>3</v>
      </c>
      <c r="I352" s="47" t="s">
        <v>28</v>
      </c>
      <c r="J352" s="57">
        <v>46113</v>
      </c>
      <c r="K352" s="45">
        <v>36495.199999999997</v>
      </c>
    </row>
    <row r="353" spans="3:11" x14ac:dyDescent="0.2">
      <c r="C353" s="48">
        <v>1159</v>
      </c>
      <c r="D353" s="48" t="s">
        <v>14</v>
      </c>
      <c r="E353" s="48">
        <v>1159</v>
      </c>
      <c r="F353" s="48" t="s">
        <v>14</v>
      </c>
      <c r="G353" s="48" t="s">
        <v>1</v>
      </c>
      <c r="H353" s="48" t="s">
        <v>3</v>
      </c>
      <c r="I353" s="47" t="s">
        <v>27</v>
      </c>
      <c r="J353" s="57">
        <v>46113</v>
      </c>
      <c r="K353" s="45">
        <v>4773.6448</v>
      </c>
    </row>
    <row r="354" spans="3:11" x14ac:dyDescent="0.2">
      <c r="C354" s="48">
        <v>1159</v>
      </c>
      <c r="D354" s="48" t="s">
        <v>14</v>
      </c>
      <c r="E354" s="48">
        <v>1159</v>
      </c>
      <c r="F354" s="48" t="s">
        <v>14</v>
      </c>
      <c r="G354" s="48" t="s">
        <v>1</v>
      </c>
      <c r="H354" s="48" t="s">
        <v>3</v>
      </c>
      <c r="I354" s="47" t="s">
        <v>26</v>
      </c>
      <c r="J354" s="57">
        <v>46113</v>
      </c>
      <c r="K354" s="45">
        <v>132.70732544000001</v>
      </c>
    </row>
    <row r="355" spans="3:11" x14ac:dyDescent="0.2">
      <c r="C355" s="48">
        <v>1159</v>
      </c>
      <c r="D355" s="48" t="s">
        <v>14</v>
      </c>
      <c r="E355" s="48">
        <v>1159</v>
      </c>
      <c r="F355" s="48" t="s">
        <v>14</v>
      </c>
      <c r="G355" s="48" t="s">
        <v>1</v>
      </c>
      <c r="H355" s="48" t="s">
        <v>3</v>
      </c>
      <c r="I355" s="47" t="s">
        <v>25</v>
      </c>
      <c r="J355" s="57">
        <v>46113</v>
      </c>
      <c r="K355" s="45">
        <v>397.64461183999998</v>
      </c>
    </row>
    <row r="356" spans="3:11" x14ac:dyDescent="0.2">
      <c r="C356" s="48">
        <v>1159</v>
      </c>
      <c r="D356" s="48" t="s">
        <v>14</v>
      </c>
      <c r="E356" s="48">
        <v>1159</v>
      </c>
      <c r="F356" s="48" t="s">
        <v>14</v>
      </c>
      <c r="G356" s="48" t="s">
        <v>1</v>
      </c>
      <c r="H356" s="48" t="s">
        <v>3</v>
      </c>
      <c r="I356" s="47" t="s">
        <v>24</v>
      </c>
      <c r="J356" s="57">
        <v>46113</v>
      </c>
      <c r="K356" s="45">
        <v>5251.0092800000011</v>
      </c>
    </row>
    <row r="357" spans="3:11" x14ac:dyDescent="0.2">
      <c r="C357" s="48">
        <v>1159</v>
      </c>
      <c r="D357" s="48" t="s">
        <v>14</v>
      </c>
      <c r="E357" s="48">
        <v>1159</v>
      </c>
      <c r="F357" s="48" t="s">
        <v>14</v>
      </c>
      <c r="G357" s="48" t="s">
        <v>1</v>
      </c>
      <c r="H357" s="48" t="s">
        <v>3</v>
      </c>
      <c r="I357" s="47" t="s">
        <v>23</v>
      </c>
      <c r="J357" s="57">
        <v>46113</v>
      </c>
      <c r="K357" s="45">
        <v>145.97805798400003</v>
      </c>
    </row>
    <row r="358" spans="3:11" x14ac:dyDescent="0.2">
      <c r="C358" s="48">
        <v>1159</v>
      </c>
      <c r="D358" s="48" t="s">
        <v>14</v>
      </c>
      <c r="E358" s="48">
        <v>1159</v>
      </c>
      <c r="F358" s="48" t="s">
        <v>14</v>
      </c>
      <c r="G358" s="48" t="s">
        <v>1</v>
      </c>
      <c r="H358" s="48" t="s">
        <v>3</v>
      </c>
      <c r="I358" s="47" t="s">
        <v>22</v>
      </c>
      <c r="J358" s="57">
        <v>46113</v>
      </c>
      <c r="K358" s="45">
        <v>165.8841568</v>
      </c>
    </row>
    <row r="359" spans="3:11" x14ac:dyDescent="0.2">
      <c r="C359" s="48">
        <v>1159</v>
      </c>
      <c r="D359" s="48" t="s">
        <v>14</v>
      </c>
      <c r="E359" s="48">
        <v>1159</v>
      </c>
      <c r="F359" s="48" t="s">
        <v>14</v>
      </c>
      <c r="G359" s="48" t="s">
        <v>1</v>
      </c>
      <c r="H359" s="48" t="s">
        <v>3</v>
      </c>
      <c r="I359" s="47" t="s">
        <v>21</v>
      </c>
      <c r="J359" s="57">
        <v>46113</v>
      </c>
      <c r="K359" s="45">
        <v>437.40907302400007</v>
      </c>
    </row>
    <row r="360" spans="3:11" x14ac:dyDescent="0.2">
      <c r="C360" s="48">
        <v>1159</v>
      </c>
      <c r="D360" s="48" t="s">
        <v>14</v>
      </c>
      <c r="E360" s="48">
        <v>1159</v>
      </c>
      <c r="F360" s="48" t="s">
        <v>14</v>
      </c>
      <c r="G360" s="48" t="s">
        <v>1</v>
      </c>
      <c r="H360" s="48" t="s">
        <v>3</v>
      </c>
      <c r="I360" s="47" t="s">
        <v>20</v>
      </c>
      <c r="J360" s="57">
        <v>46113</v>
      </c>
      <c r="K360" s="45">
        <v>497.05576480000002</v>
      </c>
    </row>
    <row r="361" spans="3:11" x14ac:dyDescent="0.2">
      <c r="C361" s="48">
        <v>1159</v>
      </c>
      <c r="D361" s="48" t="s">
        <v>14</v>
      </c>
      <c r="E361" s="48">
        <v>1159</v>
      </c>
      <c r="F361" s="48" t="s">
        <v>14</v>
      </c>
      <c r="G361" s="48" t="s">
        <v>1</v>
      </c>
      <c r="H361" s="48" t="s">
        <v>3</v>
      </c>
      <c r="I361" s="47" t="s">
        <v>19</v>
      </c>
      <c r="J361" s="57">
        <v>46113</v>
      </c>
      <c r="K361" s="45">
        <v>5967.0560000000005</v>
      </c>
    </row>
    <row r="362" spans="3:11" x14ac:dyDescent="0.2">
      <c r="C362" s="48">
        <v>1159</v>
      </c>
      <c r="D362" s="48" t="s">
        <v>14</v>
      </c>
      <c r="E362" s="48">
        <v>1159</v>
      </c>
      <c r="F362" s="48" t="s">
        <v>14</v>
      </c>
      <c r="G362" s="48" t="s">
        <v>1</v>
      </c>
      <c r="H362" s="48" t="s">
        <v>3</v>
      </c>
      <c r="I362" s="47" t="s">
        <v>18</v>
      </c>
      <c r="J362" s="57">
        <v>46113</v>
      </c>
      <c r="K362" s="45">
        <v>59023.16</v>
      </c>
    </row>
    <row r="363" spans="3:11" x14ac:dyDescent="0.2">
      <c r="C363" s="48">
        <v>1159</v>
      </c>
      <c r="D363" s="48" t="s">
        <v>14</v>
      </c>
      <c r="E363" s="48">
        <v>1159</v>
      </c>
      <c r="F363" s="48" t="s">
        <v>14</v>
      </c>
      <c r="G363" s="48" t="s">
        <v>1</v>
      </c>
      <c r="H363" s="48" t="s">
        <v>3</v>
      </c>
      <c r="I363" s="47" t="s">
        <v>17</v>
      </c>
      <c r="J363" s="57">
        <v>46113</v>
      </c>
      <c r="K363" s="45">
        <v>52.56</v>
      </c>
    </row>
    <row r="364" spans="3:11" x14ac:dyDescent="0.2">
      <c r="C364" s="48">
        <v>1159</v>
      </c>
      <c r="D364" s="48" t="s">
        <v>14</v>
      </c>
      <c r="E364" s="48">
        <v>1159</v>
      </c>
      <c r="F364" s="48" t="s">
        <v>14</v>
      </c>
      <c r="G364" s="48" t="s">
        <v>1</v>
      </c>
      <c r="H364" s="48" t="s">
        <v>3</v>
      </c>
      <c r="I364" s="47" t="s">
        <v>12</v>
      </c>
      <c r="J364" s="57">
        <v>46113</v>
      </c>
      <c r="K364" s="45">
        <v>2520</v>
      </c>
    </row>
    <row r="365" spans="3:11" x14ac:dyDescent="0.2">
      <c r="C365" s="48">
        <v>1159</v>
      </c>
      <c r="D365" s="48" t="s">
        <v>14</v>
      </c>
      <c r="E365" s="48">
        <v>1159</v>
      </c>
      <c r="F365" s="48" t="s">
        <v>14</v>
      </c>
      <c r="G365" s="48" t="s">
        <v>1</v>
      </c>
      <c r="H365" s="48" t="s">
        <v>3</v>
      </c>
      <c r="I365" s="47" t="s">
        <v>16</v>
      </c>
      <c r="J365" s="57">
        <v>46113</v>
      </c>
      <c r="K365" s="45">
        <v>0</v>
      </c>
    </row>
    <row r="366" spans="3:11" x14ac:dyDescent="0.2">
      <c r="C366" s="48">
        <v>1159</v>
      </c>
      <c r="D366" s="48" t="s">
        <v>14</v>
      </c>
      <c r="E366" s="48">
        <v>1160</v>
      </c>
      <c r="F366" s="48" t="s">
        <v>13</v>
      </c>
      <c r="G366" s="48" t="s">
        <v>1</v>
      </c>
      <c r="H366" s="48" t="s">
        <v>3</v>
      </c>
      <c r="I366" s="47" t="s">
        <v>39</v>
      </c>
      <c r="J366" s="57">
        <v>46113</v>
      </c>
      <c r="K366" s="45">
        <v>1922.2849319999996</v>
      </c>
    </row>
    <row r="367" spans="3:11" x14ac:dyDescent="0.2">
      <c r="C367" s="48">
        <v>1159</v>
      </c>
      <c r="D367" s="48" t="s">
        <v>14</v>
      </c>
      <c r="E367" s="48">
        <v>1160</v>
      </c>
      <c r="F367" s="48" t="s">
        <v>13</v>
      </c>
      <c r="G367" s="48" t="s">
        <v>1</v>
      </c>
      <c r="H367" s="48" t="s">
        <v>3</v>
      </c>
      <c r="I367" s="47" t="s">
        <v>32</v>
      </c>
      <c r="J367" s="57">
        <v>46113</v>
      </c>
      <c r="K367" s="45">
        <v>5759.9401019999996</v>
      </c>
    </row>
    <row r="368" spans="3:11" x14ac:dyDescent="0.2">
      <c r="C368" s="48">
        <v>1159</v>
      </c>
      <c r="D368" s="48" t="s">
        <v>14</v>
      </c>
      <c r="E368" s="48">
        <v>1160</v>
      </c>
      <c r="F368" s="48" t="s">
        <v>13</v>
      </c>
      <c r="G368" s="48" t="s">
        <v>1</v>
      </c>
      <c r="H368" s="48" t="s">
        <v>3</v>
      </c>
      <c r="I368" s="47" t="s">
        <v>42</v>
      </c>
      <c r="J368" s="57">
        <v>46113</v>
      </c>
      <c r="K368" s="45">
        <v>0</v>
      </c>
    </row>
    <row r="369" spans="3:11" x14ac:dyDescent="0.2">
      <c r="C369" s="48">
        <v>1159</v>
      </c>
      <c r="D369" s="48" t="s">
        <v>14</v>
      </c>
      <c r="E369" s="48">
        <v>1160</v>
      </c>
      <c r="F369" s="48" t="s">
        <v>13</v>
      </c>
      <c r="G369" s="48" t="s">
        <v>1</v>
      </c>
      <c r="H369" s="48" t="s">
        <v>3</v>
      </c>
      <c r="I369" s="47" t="s">
        <v>442</v>
      </c>
      <c r="J369" s="57">
        <v>46113</v>
      </c>
      <c r="K369" s="45">
        <v>8293.52</v>
      </c>
    </row>
    <row r="370" spans="3:11" x14ac:dyDescent="0.2">
      <c r="C370" s="48">
        <v>1159</v>
      </c>
      <c r="D370" s="48" t="s">
        <v>14</v>
      </c>
      <c r="E370" s="48">
        <v>1160</v>
      </c>
      <c r="F370" s="48" t="s">
        <v>13</v>
      </c>
      <c r="G370" s="48" t="s">
        <v>1</v>
      </c>
      <c r="H370" s="48" t="s">
        <v>3</v>
      </c>
      <c r="I370" s="47" t="s">
        <v>30</v>
      </c>
      <c r="J370" s="57">
        <v>46113</v>
      </c>
      <c r="K370" s="45">
        <v>346.32000000000011</v>
      </c>
    </row>
    <row r="371" spans="3:11" x14ac:dyDescent="0.2">
      <c r="C371" s="48">
        <v>1159</v>
      </c>
      <c r="D371" s="48" t="s">
        <v>14</v>
      </c>
      <c r="E371" s="48">
        <v>1160</v>
      </c>
      <c r="F371" s="48" t="s">
        <v>13</v>
      </c>
      <c r="G371" s="48" t="s">
        <v>1</v>
      </c>
      <c r="H371" s="48" t="s">
        <v>3</v>
      </c>
      <c r="I371" s="47" t="s">
        <v>29</v>
      </c>
      <c r="J371" s="57">
        <v>46113</v>
      </c>
      <c r="K371" s="45">
        <v>0</v>
      </c>
    </row>
    <row r="372" spans="3:11" x14ac:dyDescent="0.2">
      <c r="C372" s="48">
        <v>1159</v>
      </c>
      <c r="D372" s="48" t="s">
        <v>14</v>
      </c>
      <c r="E372" s="48">
        <v>1160</v>
      </c>
      <c r="F372" s="48" t="s">
        <v>13</v>
      </c>
      <c r="G372" s="48" t="s">
        <v>1</v>
      </c>
      <c r="H372" s="48" t="s">
        <v>3</v>
      </c>
      <c r="I372" s="47" t="s">
        <v>28</v>
      </c>
      <c r="J372" s="57">
        <v>46113</v>
      </c>
      <c r="K372" s="45">
        <v>15950.890851851849</v>
      </c>
    </row>
    <row r="373" spans="3:11" x14ac:dyDescent="0.2">
      <c r="C373" s="48">
        <v>1159</v>
      </c>
      <c r="D373" s="48" t="s">
        <v>14</v>
      </c>
      <c r="E373" s="48">
        <v>1160</v>
      </c>
      <c r="F373" s="48" t="s">
        <v>13</v>
      </c>
      <c r="G373" s="48" t="s">
        <v>1</v>
      </c>
      <c r="H373" s="48" t="s">
        <v>3</v>
      </c>
      <c r="I373" s="47" t="s">
        <v>27</v>
      </c>
      <c r="J373" s="57">
        <v>46113</v>
      </c>
      <c r="K373" s="45">
        <v>5531.7551999999996</v>
      </c>
    </row>
    <row r="374" spans="3:11" x14ac:dyDescent="0.2">
      <c r="C374" s="48">
        <v>1159</v>
      </c>
      <c r="D374" s="48" t="s">
        <v>14</v>
      </c>
      <c r="E374" s="48">
        <v>1160</v>
      </c>
      <c r="F374" s="48" t="s">
        <v>13</v>
      </c>
      <c r="G374" s="48" t="s">
        <v>1</v>
      </c>
      <c r="H374" s="48" t="s">
        <v>3</v>
      </c>
      <c r="I374" s="47" t="s">
        <v>26</v>
      </c>
      <c r="J374" s="57">
        <v>46113</v>
      </c>
      <c r="K374" s="45">
        <v>153.78279455999999</v>
      </c>
    </row>
    <row r="375" spans="3:11" x14ac:dyDescent="0.2">
      <c r="C375" s="48">
        <v>1159</v>
      </c>
      <c r="D375" s="48" t="s">
        <v>14</v>
      </c>
      <c r="E375" s="48">
        <v>1160</v>
      </c>
      <c r="F375" s="48" t="s">
        <v>13</v>
      </c>
      <c r="G375" s="48" t="s">
        <v>1</v>
      </c>
      <c r="H375" s="48" t="s">
        <v>3</v>
      </c>
      <c r="I375" s="47" t="s">
        <v>25</v>
      </c>
      <c r="J375" s="57">
        <v>46113</v>
      </c>
      <c r="K375" s="45">
        <v>460.79520816000002</v>
      </c>
    </row>
    <row r="376" spans="3:11" x14ac:dyDescent="0.2">
      <c r="C376" s="48">
        <v>1159</v>
      </c>
      <c r="D376" s="48" t="s">
        <v>14</v>
      </c>
      <c r="E376" s="48">
        <v>1160</v>
      </c>
      <c r="F376" s="48" t="s">
        <v>13</v>
      </c>
      <c r="G376" s="48" t="s">
        <v>1</v>
      </c>
      <c r="H376" s="48" t="s">
        <v>3</v>
      </c>
      <c r="I376" s="47" t="s">
        <v>24</v>
      </c>
      <c r="J376" s="57">
        <v>46113</v>
      </c>
      <c r="K376" s="45">
        <v>6084.9307200000003</v>
      </c>
    </row>
    <row r="377" spans="3:11" x14ac:dyDescent="0.2">
      <c r="C377" s="48">
        <v>1159</v>
      </c>
      <c r="D377" s="48" t="s">
        <v>14</v>
      </c>
      <c r="E377" s="48">
        <v>1160</v>
      </c>
      <c r="F377" s="48" t="s">
        <v>13</v>
      </c>
      <c r="G377" s="48" t="s">
        <v>1</v>
      </c>
      <c r="H377" s="48" t="s">
        <v>3</v>
      </c>
      <c r="I377" s="47" t="s">
        <v>23</v>
      </c>
      <c r="J377" s="57">
        <v>46113</v>
      </c>
      <c r="K377" s="45">
        <v>169.16107401600001</v>
      </c>
    </row>
    <row r="378" spans="3:11" x14ac:dyDescent="0.2">
      <c r="C378" s="48">
        <v>1159</v>
      </c>
      <c r="D378" s="48" t="s">
        <v>14</v>
      </c>
      <c r="E378" s="48">
        <v>1160</v>
      </c>
      <c r="F378" s="48" t="s">
        <v>13</v>
      </c>
      <c r="G378" s="48" t="s">
        <v>1</v>
      </c>
      <c r="H378" s="48" t="s">
        <v>3</v>
      </c>
      <c r="I378" s="47" t="s">
        <v>22</v>
      </c>
      <c r="J378" s="57">
        <v>46113</v>
      </c>
      <c r="K378" s="45">
        <v>192.22849319999997</v>
      </c>
    </row>
    <row r="379" spans="3:11" x14ac:dyDescent="0.2">
      <c r="C379" s="48">
        <v>1159</v>
      </c>
      <c r="D379" s="48" t="s">
        <v>14</v>
      </c>
      <c r="E379" s="48">
        <v>1160</v>
      </c>
      <c r="F379" s="48" t="s">
        <v>13</v>
      </c>
      <c r="G379" s="48" t="s">
        <v>1</v>
      </c>
      <c r="H379" s="48" t="s">
        <v>3</v>
      </c>
      <c r="I379" s="47" t="s">
        <v>21</v>
      </c>
      <c r="J379" s="57">
        <v>46113</v>
      </c>
      <c r="K379" s="45">
        <v>506.87472897600003</v>
      </c>
    </row>
    <row r="380" spans="3:11" x14ac:dyDescent="0.2">
      <c r="C380" s="48">
        <v>1159</v>
      </c>
      <c r="D380" s="48" t="s">
        <v>14</v>
      </c>
      <c r="E380" s="48">
        <v>1160</v>
      </c>
      <c r="F380" s="48" t="s">
        <v>13</v>
      </c>
      <c r="G380" s="48" t="s">
        <v>1</v>
      </c>
      <c r="H380" s="48" t="s">
        <v>3</v>
      </c>
      <c r="I380" s="47" t="s">
        <v>20</v>
      </c>
      <c r="J380" s="57">
        <v>46113</v>
      </c>
      <c r="K380" s="45">
        <v>575.99401019999993</v>
      </c>
    </row>
    <row r="381" spans="3:11" x14ac:dyDescent="0.2">
      <c r="C381" s="48">
        <v>1159</v>
      </c>
      <c r="D381" s="48" t="s">
        <v>14</v>
      </c>
      <c r="E381" s="48">
        <v>1160</v>
      </c>
      <c r="F381" s="48" t="s">
        <v>13</v>
      </c>
      <c r="G381" s="48" t="s">
        <v>1</v>
      </c>
      <c r="H381" s="48" t="s">
        <v>3</v>
      </c>
      <c r="I381" s="47" t="s">
        <v>19</v>
      </c>
      <c r="J381" s="57">
        <v>46113</v>
      </c>
      <c r="K381" s="45">
        <v>6914.6939999999995</v>
      </c>
    </row>
    <row r="382" spans="3:11" x14ac:dyDescent="0.2">
      <c r="C382" s="48">
        <v>1159</v>
      </c>
      <c r="D382" s="48" t="s">
        <v>14</v>
      </c>
      <c r="E382" s="48">
        <v>1160</v>
      </c>
      <c r="F382" s="48" t="s">
        <v>13</v>
      </c>
      <c r="G382" s="48" t="s">
        <v>1</v>
      </c>
      <c r="H382" s="48" t="s">
        <v>3</v>
      </c>
      <c r="I382" s="47" t="s">
        <v>18</v>
      </c>
      <c r="J382" s="57">
        <v>46113</v>
      </c>
      <c r="K382" s="45">
        <v>67636.28</v>
      </c>
    </row>
    <row r="383" spans="3:11" x14ac:dyDescent="0.2">
      <c r="C383" s="48">
        <v>1159</v>
      </c>
      <c r="D383" s="48" t="s">
        <v>14</v>
      </c>
      <c r="E383" s="48">
        <v>1160</v>
      </c>
      <c r="F383" s="48" t="s">
        <v>13</v>
      </c>
      <c r="G383" s="48" t="s">
        <v>1</v>
      </c>
      <c r="H383" s="48" t="s">
        <v>3</v>
      </c>
      <c r="I383" s="47" t="s">
        <v>17</v>
      </c>
      <c r="J383" s="57">
        <v>46113</v>
      </c>
      <c r="K383" s="45">
        <v>192.72000000000003</v>
      </c>
    </row>
    <row r="384" spans="3:11" x14ac:dyDescent="0.2">
      <c r="C384" s="48">
        <v>1159</v>
      </c>
      <c r="D384" s="48" t="s">
        <v>14</v>
      </c>
      <c r="E384" s="48">
        <v>1160</v>
      </c>
      <c r="F384" s="48" t="s">
        <v>13</v>
      </c>
      <c r="G384" s="48" t="s">
        <v>1</v>
      </c>
      <c r="H384" s="48" t="s">
        <v>3</v>
      </c>
      <c r="I384" s="47" t="s">
        <v>12</v>
      </c>
      <c r="J384" s="57">
        <v>46113</v>
      </c>
      <c r="K384" s="45">
        <v>9240</v>
      </c>
    </row>
    <row r="385" spans="3:11" x14ac:dyDescent="0.2">
      <c r="C385" s="48">
        <v>1159</v>
      </c>
      <c r="D385" s="48" t="s">
        <v>14</v>
      </c>
      <c r="E385" s="48">
        <v>1160</v>
      </c>
      <c r="F385" s="48" t="s">
        <v>13</v>
      </c>
      <c r="G385" s="48" t="s">
        <v>1</v>
      </c>
      <c r="H385" s="48" t="s">
        <v>3</v>
      </c>
      <c r="I385" s="47" t="s">
        <v>16</v>
      </c>
      <c r="J385" s="57">
        <v>46113</v>
      </c>
      <c r="K385" s="45">
        <v>514.08000000000004</v>
      </c>
    </row>
    <row r="386" spans="3:11" x14ac:dyDescent="0.2">
      <c r="C386" s="48">
        <v>1000</v>
      </c>
      <c r="D386" s="48" t="s">
        <v>70</v>
      </c>
      <c r="E386" s="48">
        <v>1003</v>
      </c>
      <c r="F386" s="48" t="s">
        <v>72</v>
      </c>
      <c r="G386" s="48" t="s">
        <v>1</v>
      </c>
      <c r="H386" s="48" t="s">
        <v>72</v>
      </c>
      <c r="I386" s="47" t="s">
        <v>74</v>
      </c>
      <c r="J386" s="57">
        <v>46143</v>
      </c>
      <c r="K386" s="45">
        <v>15000</v>
      </c>
    </row>
    <row r="387" spans="3:11" x14ac:dyDescent="0.2">
      <c r="C387" s="48">
        <v>1000</v>
      </c>
      <c r="D387" s="48" t="s">
        <v>70</v>
      </c>
      <c r="E387" s="48">
        <v>1003</v>
      </c>
      <c r="F387" s="48" t="s">
        <v>72</v>
      </c>
      <c r="G387" s="48" t="s">
        <v>1</v>
      </c>
      <c r="H387" s="48" t="s">
        <v>72</v>
      </c>
      <c r="I387" s="47" t="s">
        <v>73</v>
      </c>
      <c r="J387" s="57">
        <v>46143</v>
      </c>
      <c r="K387" s="45">
        <v>600</v>
      </c>
    </row>
    <row r="388" spans="3:11" x14ac:dyDescent="0.2">
      <c r="C388" s="48">
        <v>1000</v>
      </c>
      <c r="D388" s="48" t="s">
        <v>70</v>
      </c>
      <c r="E388" s="48">
        <v>1003</v>
      </c>
      <c r="F388" s="48" t="s">
        <v>72</v>
      </c>
      <c r="G388" s="48" t="s">
        <v>1</v>
      </c>
      <c r="H388" s="48" t="s">
        <v>72</v>
      </c>
      <c r="I388" s="47" t="s">
        <v>71</v>
      </c>
      <c r="J388" s="57">
        <v>46143</v>
      </c>
      <c r="K388" s="45">
        <v>10000</v>
      </c>
    </row>
    <row r="389" spans="3:11" x14ac:dyDescent="0.2">
      <c r="C389" s="48">
        <v>1159</v>
      </c>
      <c r="D389" s="48" t="s">
        <v>14</v>
      </c>
      <c r="E389" s="48">
        <v>1150</v>
      </c>
      <c r="F389" s="48" t="s">
        <v>15</v>
      </c>
      <c r="G389" s="48" t="s">
        <v>1</v>
      </c>
      <c r="H389" s="48" t="s">
        <v>132</v>
      </c>
      <c r="I389" s="47" t="s">
        <v>43</v>
      </c>
      <c r="J389" s="57">
        <v>46143</v>
      </c>
      <c r="K389" s="45">
        <v>200</v>
      </c>
    </row>
    <row r="390" spans="3:11" x14ac:dyDescent="0.2">
      <c r="C390" s="48">
        <v>1159</v>
      </c>
      <c r="D390" s="48" t="s">
        <v>14</v>
      </c>
      <c r="E390" s="48">
        <v>1150</v>
      </c>
      <c r="F390" s="48" t="s">
        <v>15</v>
      </c>
      <c r="G390" s="48" t="s">
        <v>1</v>
      </c>
      <c r="H390" s="48" t="s">
        <v>0</v>
      </c>
      <c r="I390" s="47" t="s">
        <v>51</v>
      </c>
      <c r="J390" s="57">
        <v>46143</v>
      </c>
      <c r="K390" s="45">
        <v>5000</v>
      </c>
    </row>
    <row r="391" spans="3:11" x14ac:dyDescent="0.2">
      <c r="C391" s="48">
        <v>1159</v>
      </c>
      <c r="D391" s="48" t="s">
        <v>14</v>
      </c>
      <c r="E391" s="48">
        <v>1150</v>
      </c>
      <c r="F391" s="48" t="s">
        <v>15</v>
      </c>
      <c r="G391" s="48" t="s">
        <v>1</v>
      </c>
      <c r="H391" s="48" t="s">
        <v>0</v>
      </c>
      <c r="I391" s="47" t="s">
        <v>447</v>
      </c>
      <c r="J391" s="57">
        <v>46143</v>
      </c>
      <c r="K391" s="45">
        <v>3023.6305000000002</v>
      </c>
    </row>
    <row r="392" spans="3:11" x14ac:dyDescent="0.2">
      <c r="C392" s="48">
        <v>1159</v>
      </c>
      <c r="D392" s="48" t="s">
        <v>14</v>
      </c>
      <c r="E392" s="48">
        <v>1150</v>
      </c>
      <c r="F392" s="48" t="s">
        <v>15</v>
      </c>
      <c r="G392" s="48" t="s">
        <v>1</v>
      </c>
      <c r="H392" s="48" t="s">
        <v>66</v>
      </c>
      <c r="I392" s="47" t="s">
        <v>67</v>
      </c>
      <c r="J392" s="57">
        <v>46143</v>
      </c>
      <c r="K392" s="45">
        <v>140000</v>
      </c>
    </row>
    <row r="393" spans="3:11" x14ac:dyDescent="0.2">
      <c r="C393" s="48">
        <v>1159</v>
      </c>
      <c r="D393" s="48" t="s">
        <v>14</v>
      </c>
      <c r="E393" s="48">
        <v>1150</v>
      </c>
      <c r="F393" s="48" t="s">
        <v>15</v>
      </c>
      <c r="G393" s="48" t="s">
        <v>1</v>
      </c>
      <c r="H393" s="48" t="s">
        <v>66</v>
      </c>
      <c r="I393" s="47" t="s">
        <v>68</v>
      </c>
      <c r="J393" s="57">
        <v>46143</v>
      </c>
      <c r="K393" s="45">
        <v>100000</v>
      </c>
    </row>
    <row r="394" spans="3:11" x14ac:dyDescent="0.2">
      <c r="C394" s="48">
        <v>1159</v>
      </c>
      <c r="D394" s="48" t="s">
        <v>14</v>
      </c>
      <c r="E394" s="48">
        <v>1150</v>
      </c>
      <c r="F394" s="48" t="s">
        <v>15</v>
      </c>
      <c r="G394" s="48" t="s">
        <v>1</v>
      </c>
      <c r="H394" s="48" t="s">
        <v>66</v>
      </c>
      <c r="I394" s="47" t="s">
        <v>69</v>
      </c>
      <c r="J394" s="57">
        <v>46143</v>
      </c>
      <c r="K394" s="45">
        <v>30000</v>
      </c>
    </row>
    <row r="395" spans="3:11" x14ac:dyDescent="0.2">
      <c r="C395" s="48">
        <v>1159</v>
      </c>
      <c r="D395" s="48" t="s">
        <v>14</v>
      </c>
      <c r="E395" s="48">
        <v>1150</v>
      </c>
      <c r="F395" s="48" t="s">
        <v>15</v>
      </c>
      <c r="G395" s="48" t="s">
        <v>1</v>
      </c>
      <c r="H395" s="48" t="s">
        <v>66</v>
      </c>
      <c r="I395" s="47" t="s">
        <v>65</v>
      </c>
      <c r="J395" s="57">
        <v>46143</v>
      </c>
      <c r="K395" s="45">
        <v>30000</v>
      </c>
    </row>
    <row r="396" spans="3:11" x14ac:dyDescent="0.2">
      <c r="C396" s="48">
        <v>1159</v>
      </c>
      <c r="D396" s="48" t="s">
        <v>14</v>
      </c>
      <c r="E396" s="48">
        <v>1150</v>
      </c>
      <c r="F396" s="48" t="s">
        <v>15</v>
      </c>
      <c r="G396" s="48" t="s">
        <v>1</v>
      </c>
      <c r="H396" s="48" t="s">
        <v>46</v>
      </c>
      <c r="I396" s="47" t="s">
        <v>48</v>
      </c>
      <c r="J396" s="57">
        <v>46143</v>
      </c>
      <c r="K396" s="45">
        <v>2500</v>
      </c>
    </row>
    <row r="397" spans="3:11" x14ac:dyDescent="0.2">
      <c r="C397" s="48">
        <v>1159</v>
      </c>
      <c r="D397" s="48" t="s">
        <v>14</v>
      </c>
      <c r="E397" s="48">
        <v>1150</v>
      </c>
      <c r="F397" s="48" t="s">
        <v>15</v>
      </c>
      <c r="G397" s="48" t="s">
        <v>1</v>
      </c>
      <c r="H397" s="48" t="s">
        <v>41</v>
      </c>
      <c r="I397" s="47" t="s">
        <v>40</v>
      </c>
      <c r="J397" s="57">
        <v>46143</v>
      </c>
      <c r="K397" s="45">
        <v>74.944374999999994</v>
      </c>
    </row>
    <row r="398" spans="3:11" x14ac:dyDescent="0.2">
      <c r="C398" s="48">
        <v>1159</v>
      </c>
      <c r="D398" s="48" t="s">
        <v>14</v>
      </c>
      <c r="E398" s="48">
        <v>1150</v>
      </c>
      <c r="F398" s="48" t="s">
        <v>15</v>
      </c>
      <c r="G398" s="48" t="s">
        <v>1</v>
      </c>
      <c r="H398" s="48" t="s">
        <v>132</v>
      </c>
      <c r="I398" s="47" t="s">
        <v>47</v>
      </c>
      <c r="J398" s="57">
        <v>46143</v>
      </c>
      <c r="K398" s="45">
        <v>120</v>
      </c>
    </row>
    <row r="399" spans="3:11" x14ac:dyDescent="0.2">
      <c r="C399" s="48">
        <v>1159</v>
      </c>
      <c r="D399" s="48" t="s">
        <v>14</v>
      </c>
      <c r="E399" s="48">
        <v>1150</v>
      </c>
      <c r="F399" s="48" t="s">
        <v>15</v>
      </c>
      <c r="G399" s="48" t="s">
        <v>1</v>
      </c>
      <c r="H399" s="48" t="s">
        <v>46</v>
      </c>
      <c r="I399" s="47" t="s">
        <v>64</v>
      </c>
      <c r="J399" s="57">
        <v>46143</v>
      </c>
      <c r="K399" s="45"/>
    </row>
    <row r="400" spans="3:11" x14ac:dyDescent="0.2">
      <c r="C400" s="48">
        <v>1159</v>
      </c>
      <c r="D400" s="48" t="s">
        <v>14</v>
      </c>
      <c r="E400" s="48">
        <v>1150</v>
      </c>
      <c r="F400" s="48" t="s">
        <v>15</v>
      </c>
      <c r="G400" s="48" t="s">
        <v>1</v>
      </c>
      <c r="H400" s="48" t="s">
        <v>46</v>
      </c>
      <c r="I400" s="47" t="s">
        <v>63</v>
      </c>
      <c r="J400" s="57">
        <v>46143</v>
      </c>
      <c r="K400" s="45"/>
    </row>
    <row r="401" spans="3:11" x14ac:dyDescent="0.2">
      <c r="C401" s="48">
        <v>1159</v>
      </c>
      <c r="D401" s="48" t="s">
        <v>14</v>
      </c>
      <c r="E401" s="48">
        <v>1150</v>
      </c>
      <c r="F401" s="48" t="s">
        <v>15</v>
      </c>
      <c r="G401" s="48" t="s">
        <v>1</v>
      </c>
      <c r="H401" s="48" t="s">
        <v>46</v>
      </c>
      <c r="I401" s="47" t="s">
        <v>444</v>
      </c>
      <c r="J401" s="57">
        <v>46143</v>
      </c>
      <c r="K401" s="45">
        <v>200</v>
      </c>
    </row>
    <row r="402" spans="3:11" x14ac:dyDescent="0.2">
      <c r="C402" s="48">
        <v>1159</v>
      </c>
      <c r="D402" s="48" t="s">
        <v>14</v>
      </c>
      <c r="E402" s="48">
        <v>1150</v>
      </c>
      <c r="F402" s="48" t="s">
        <v>15</v>
      </c>
      <c r="G402" s="48" t="s">
        <v>1</v>
      </c>
      <c r="H402" s="48" t="s">
        <v>66</v>
      </c>
      <c r="I402" s="47" t="s">
        <v>65</v>
      </c>
      <c r="J402" s="57">
        <v>46143</v>
      </c>
      <c r="K402" s="45">
        <v>5000</v>
      </c>
    </row>
    <row r="403" spans="3:11" x14ac:dyDescent="0.2">
      <c r="C403" s="48">
        <v>1159</v>
      </c>
      <c r="D403" s="48" t="s">
        <v>14</v>
      </c>
      <c r="E403" s="48">
        <v>1159</v>
      </c>
      <c r="F403" s="48" t="s">
        <v>14</v>
      </c>
      <c r="G403" s="48" t="s">
        <v>1</v>
      </c>
      <c r="H403" s="48" t="s">
        <v>132</v>
      </c>
      <c r="I403" s="47" t="s">
        <v>43</v>
      </c>
      <c r="J403" s="57">
        <v>46143</v>
      </c>
      <c r="K403" s="45">
        <v>37.5</v>
      </c>
    </row>
    <row r="404" spans="3:11" x14ac:dyDescent="0.2">
      <c r="C404" s="48">
        <v>1159</v>
      </c>
      <c r="D404" s="48" t="s">
        <v>14</v>
      </c>
      <c r="E404" s="48">
        <v>1159</v>
      </c>
      <c r="F404" s="48" t="s">
        <v>14</v>
      </c>
      <c r="G404" s="48" t="s">
        <v>1</v>
      </c>
      <c r="H404" s="48" t="s">
        <v>50</v>
      </c>
      <c r="I404" s="47" t="s">
        <v>49</v>
      </c>
      <c r="J404" s="57">
        <v>46143</v>
      </c>
      <c r="K404" s="45">
        <v>524.68212500000004</v>
      </c>
    </row>
    <row r="405" spans="3:11" x14ac:dyDescent="0.2">
      <c r="C405" s="48">
        <v>1159</v>
      </c>
      <c r="D405" s="48" t="s">
        <v>14</v>
      </c>
      <c r="E405" s="48">
        <v>1159</v>
      </c>
      <c r="F405" s="48" t="s">
        <v>14</v>
      </c>
      <c r="G405" s="48" t="s">
        <v>1</v>
      </c>
      <c r="H405" s="48" t="s">
        <v>66</v>
      </c>
      <c r="I405" s="47" t="s">
        <v>65</v>
      </c>
      <c r="J405" s="57">
        <v>46143</v>
      </c>
      <c r="K405" s="45">
        <v>182.87500000000003</v>
      </c>
    </row>
    <row r="406" spans="3:11" x14ac:dyDescent="0.2">
      <c r="C406" s="48">
        <v>1159</v>
      </c>
      <c r="D406" s="48" t="s">
        <v>14</v>
      </c>
      <c r="E406" s="48">
        <v>1159</v>
      </c>
      <c r="F406" s="48" t="s">
        <v>14</v>
      </c>
      <c r="G406" s="48" t="s">
        <v>1</v>
      </c>
      <c r="H406" s="48" t="s">
        <v>57</v>
      </c>
      <c r="I406" s="47" t="s">
        <v>60</v>
      </c>
      <c r="J406" s="57">
        <v>46143</v>
      </c>
      <c r="K406" s="45">
        <v>2402.321625</v>
      </c>
    </row>
    <row r="407" spans="3:11" x14ac:dyDescent="0.2">
      <c r="C407" s="48">
        <v>1159</v>
      </c>
      <c r="D407" s="48" t="s">
        <v>14</v>
      </c>
      <c r="E407" s="48">
        <v>1159</v>
      </c>
      <c r="F407" s="48" t="s">
        <v>14</v>
      </c>
      <c r="G407" s="48" t="s">
        <v>1</v>
      </c>
      <c r="H407" s="48" t="s">
        <v>57</v>
      </c>
      <c r="I407" s="47" t="s">
        <v>59</v>
      </c>
      <c r="J407" s="57">
        <v>46143</v>
      </c>
      <c r="K407" s="45">
        <v>6544.64</v>
      </c>
    </row>
    <row r="408" spans="3:11" x14ac:dyDescent="0.2">
      <c r="C408" s="48">
        <v>1159</v>
      </c>
      <c r="D408" s="48" t="s">
        <v>14</v>
      </c>
      <c r="E408" s="48">
        <v>1159</v>
      </c>
      <c r="F408" s="48" t="s">
        <v>14</v>
      </c>
      <c r="G408" s="48" t="s">
        <v>1</v>
      </c>
      <c r="H408" s="48" t="s">
        <v>57</v>
      </c>
      <c r="I408" s="47" t="s">
        <v>453</v>
      </c>
      <c r="J408" s="57">
        <v>46143</v>
      </c>
      <c r="K408" s="45"/>
    </row>
    <row r="409" spans="3:11" x14ac:dyDescent="0.2">
      <c r="C409" s="48">
        <v>1159</v>
      </c>
      <c r="D409" s="48" t="s">
        <v>14</v>
      </c>
      <c r="E409" s="48">
        <v>1159</v>
      </c>
      <c r="F409" s="48" t="s">
        <v>14</v>
      </c>
      <c r="G409" s="48" t="s">
        <v>1</v>
      </c>
      <c r="H409" s="48" t="s">
        <v>41</v>
      </c>
      <c r="I409" s="47" t="s">
        <v>55</v>
      </c>
      <c r="J409" s="57">
        <v>46143</v>
      </c>
      <c r="K409" s="45">
        <v>4940.6046249999999</v>
      </c>
    </row>
    <row r="410" spans="3:11" x14ac:dyDescent="0.2">
      <c r="C410" s="48">
        <v>1159</v>
      </c>
      <c r="D410" s="48" t="s">
        <v>14</v>
      </c>
      <c r="E410" s="48">
        <v>1159</v>
      </c>
      <c r="F410" s="48" t="s">
        <v>14</v>
      </c>
      <c r="G410" s="48" t="s">
        <v>1</v>
      </c>
      <c r="H410" s="48" t="s">
        <v>41</v>
      </c>
      <c r="I410" s="47" t="s">
        <v>138</v>
      </c>
      <c r="J410" s="57">
        <v>46143</v>
      </c>
      <c r="K410" s="45">
        <v>4381.7345000000005</v>
      </c>
    </row>
    <row r="411" spans="3:11" x14ac:dyDescent="0.2">
      <c r="C411" s="48">
        <v>1159</v>
      </c>
      <c r="D411" s="48" t="s">
        <v>14</v>
      </c>
      <c r="E411" s="48">
        <v>1159</v>
      </c>
      <c r="F411" s="48" t="s">
        <v>14</v>
      </c>
      <c r="G411" s="48" t="s">
        <v>1</v>
      </c>
      <c r="H411" s="48" t="s">
        <v>57</v>
      </c>
      <c r="I411" s="47" t="s">
        <v>56</v>
      </c>
      <c r="J411" s="57">
        <v>46143</v>
      </c>
      <c r="K411" s="45">
        <v>891.80850000000021</v>
      </c>
    </row>
    <row r="412" spans="3:11" x14ac:dyDescent="0.2">
      <c r="C412" s="48">
        <v>1159</v>
      </c>
      <c r="D412" s="48" t="s">
        <v>14</v>
      </c>
      <c r="E412" s="48">
        <v>1159</v>
      </c>
      <c r="F412" s="48" t="s">
        <v>14</v>
      </c>
      <c r="G412" s="48" t="s">
        <v>1</v>
      </c>
      <c r="H412" s="48" t="s">
        <v>41</v>
      </c>
      <c r="I412" s="47" t="s">
        <v>52</v>
      </c>
      <c r="J412" s="57">
        <v>46143</v>
      </c>
      <c r="K412" s="45">
        <v>725.81024999999988</v>
      </c>
    </row>
    <row r="413" spans="3:11" x14ac:dyDescent="0.2">
      <c r="C413" s="48">
        <v>1159</v>
      </c>
      <c r="D413" s="48" t="s">
        <v>14</v>
      </c>
      <c r="E413" s="48">
        <v>1159</v>
      </c>
      <c r="F413" s="48" t="s">
        <v>14</v>
      </c>
      <c r="G413" s="48" t="s">
        <v>1</v>
      </c>
      <c r="H413" s="48" t="s">
        <v>41</v>
      </c>
      <c r="I413" s="47" t="s">
        <v>40</v>
      </c>
      <c r="J413" s="57">
        <v>46143</v>
      </c>
      <c r="K413" s="45">
        <v>600</v>
      </c>
    </row>
    <row r="414" spans="3:11" x14ac:dyDescent="0.2">
      <c r="C414" s="48">
        <v>1159</v>
      </c>
      <c r="D414" s="48" t="s">
        <v>14</v>
      </c>
      <c r="E414" s="48">
        <v>1160</v>
      </c>
      <c r="F414" s="48" t="s">
        <v>13</v>
      </c>
      <c r="G414" s="48" t="s">
        <v>1</v>
      </c>
      <c r="H414" s="48" t="s">
        <v>132</v>
      </c>
      <c r="I414" s="47" t="s">
        <v>43</v>
      </c>
      <c r="J414" s="57">
        <v>46143</v>
      </c>
      <c r="K414" s="45">
        <v>137.5</v>
      </c>
    </row>
    <row r="415" spans="3:11" x14ac:dyDescent="0.2">
      <c r="C415" s="48">
        <v>1159</v>
      </c>
      <c r="D415" s="48" t="s">
        <v>14</v>
      </c>
      <c r="E415" s="48">
        <v>1160</v>
      </c>
      <c r="F415" s="48" t="s">
        <v>13</v>
      </c>
      <c r="G415" s="48" t="s">
        <v>1</v>
      </c>
      <c r="H415" s="48" t="s">
        <v>0</v>
      </c>
      <c r="I415" s="47" t="s">
        <v>51</v>
      </c>
      <c r="J415" s="57">
        <v>46143</v>
      </c>
      <c r="K415" s="45">
        <v>25000</v>
      </c>
    </row>
    <row r="416" spans="3:11" x14ac:dyDescent="0.2">
      <c r="C416" s="48">
        <v>1159</v>
      </c>
      <c r="D416" s="48" t="s">
        <v>14</v>
      </c>
      <c r="E416" s="48">
        <v>1160</v>
      </c>
      <c r="F416" s="48" t="s">
        <v>13</v>
      </c>
      <c r="G416" s="48" t="s">
        <v>1</v>
      </c>
      <c r="H416" s="48" t="s">
        <v>66</v>
      </c>
      <c r="I416" s="47" t="s">
        <v>68</v>
      </c>
      <c r="J416" s="57">
        <v>46143</v>
      </c>
      <c r="K416" s="45">
        <v>10000</v>
      </c>
    </row>
    <row r="417" spans="3:11" x14ac:dyDescent="0.2">
      <c r="C417" s="48">
        <v>1159</v>
      </c>
      <c r="D417" s="48" t="s">
        <v>14</v>
      </c>
      <c r="E417" s="48">
        <v>1160</v>
      </c>
      <c r="F417" s="48" t="s">
        <v>13</v>
      </c>
      <c r="G417" s="48" t="s">
        <v>1</v>
      </c>
      <c r="H417" s="48" t="s">
        <v>66</v>
      </c>
      <c r="I417" s="47" t="s">
        <v>67</v>
      </c>
      <c r="J417" s="57">
        <v>46143</v>
      </c>
      <c r="K417" s="45">
        <v>7000</v>
      </c>
    </row>
    <row r="418" spans="3:11" x14ac:dyDescent="0.2">
      <c r="C418" s="48">
        <v>1159</v>
      </c>
      <c r="D418" s="48" t="s">
        <v>14</v>
      </c>
      <c r="E418" s="48">
        <v>1160</v>
      </c>
      <c r="F418" s="48" t="s">
        <v>13</v>
      </c>
      <c r="G418" s="48" t="s">
        <v>1</v>
      </c>
      <c r="H418" s="48" t="s">
        <v>66</v>
      </c>
      <c r="I418" s="47" t="s">
        <v>65</v>
      </c>
      <c r="J418" s="57">
        <v>46143</v>
      </c>
      <c r="K418" s="45">
        <v>5000</v>
      </c>
    </row>
    <row r="419" spans="3:11" x14ac:dyDescent="0.2">
      <c r="C419" s="48">
        <v>1159</v>
      </c>
      <c r="D419" s="48" t="s">
        <v>14</v>
      </c>
      <c r="E419" s="48">
        <v>1160</v>
      </c>
      <c r="F419" s="48" t="s">
        <v>13</v>
      </c>
      <c r="G419" s="48" t="s">
        <v>1</v>
      </c>
      <c r="H419" s="48" t="s">
        <v>46</v>
      </c>
      <c r="I419" s="47" t="s">
        <v>48</v>
      </c>
      <c r="J419" s="57">
        <v>46143</v>
      </c>
      <c r="K419" s="45">
        <v>21000</v>
      </c>
    </row>
    <row r="420" spans="3:11" x14ac:dyDescent="0.2">
      <c r="C420" s="48">
        <v>1159</v>
      </c>
      <c r="D420" s="48" t="s">
        <v>14</v>
      </c>
      <c r="E420" s="48">
        <v>1160</v>
      </c>
      <c r="F420" s="48" t="s">
        <v>13</v>
      </c>
      <c r="G420" s="48" t="s">
        <v>1</v>
      </c>
      <c r="H420" s="48" t="s">
        <v>41</v>
      </c>
      <c r="I420" s="47" t="s">
        <v>40</v>
      </c>
      <c r="J420" s="57">
        <v>46143</v>
      </c>
      <c r="K420" s="45">
        <v>300</v>
      </c>
    </row>
    <row r="421" spans="3:11" x14ac:dyDescent="0.2">
      <c r="C421" s="48">
        <v>1159</v>
      </c>
      <c r="D421" s="48" t="s">
        <v>14</v>
      </c>
      <c r="E421" s="48">
        <v>1150</v>
      </c>
      <c r="F421" s="48" t="s">
        <v>15</v>
      </c>
      <c r="G421" s="48" t="s">
        <v>1</v>
      </c>
      <c r="H421" s="48" t="s">
        <v>3</v>
      </c>
      <c r="I421" s="47" t="s">
        <v>39</v>
      </c>
      <c r="J421" s="57">
        <v>46143</v>
      </c>
      <c r="K421" s="45">
        <v>2331.6792036699999</v>
      </c>
    </row>
    <row r="422" spans="3:11" x14ac:dyDescent="0.2">
      <c r="C422" s="48">
        <v>1159</v>
      </c>
      <c r="D422" s="48" t="s">
        <v>14</v>
      </c>
      <c r="E422" s="48">
        <v>1150</v>
      </c>
      <c r="F422" s="48" t="s">
        <v>15</v>
      </c>
      <c r="G422" s="48" t="s">
        <v>1</v>
      </c>
      <c r="H422" s="48" t="s">
        <v>3</v>
      </c>
      <c r="I422" s="47" t="s">
        <v>32</v>
      </c>
      <c r="J422" s="57">
        <v>46143</v>
      </c>
      <c r="K422" s="45">
        <v>6986.6502757449989</v>
      </c>
    </row>
    <row r="423" spans="3:11" x14ac:dyDescent="0.2">
      <c r="C423" s="48">
        <v>1159</v>
      </c>
      <c r="D423" s="48" t="s">
        <v>14</v>
      </c>
      <c r="E423" s="48">
        <v>1150</v>
      </c>
      <c r="F423" s="48" t="s">
        <v>15</v>
      </c>
      <c r="G423" s="48" t="s">
        <v>1</v>
      </c>
      <c r="H423" s="48" t="s">
        <v>3</v>
      </c>
      <c r="I423" s="47" t="s">
        <v>42</v>
      </c>
      <c r="J423" s="57">
        <v>46143</v>
      </c>
      <c r="K423" s="45">
        <v>0</v>
      </c>
    </row>
    <row r="424" spans="3:11" x14ac:dyDescent="0.2">
      <c r="C424" s="48">
        <v>1159</v>
      </c>
      <c r="D424" s="48" t="s">
        <v>14</v>
      </c>
      <c r="E424" s="48">
        <v>1150</v>
      </c>
      <c r="F424" s="48" t="s">
        <v>15</v>
      </c>
      <c r="G424" s="48" t="s">
        <v>1</v>
      </c>
      <c r="H424" s="48" t="s">
        <v>3</v>
      </c>
      <c r="I424" s="47" t="s">
        <v>442</v>
      </c>
      <c r="J424" s="57">
        <v>46143</v>
      </c>
      <c r="K424" s="45">
        <v>10035.439999999999</v>
      </c>
    </row>
    <row r="425" spans="3:11" x14ac:dyDescent="0.2">
      <c r="C425" s="48">
        <v>1159</v>
      </c>
      <c r="D425" s="48" t="s">
        <v>14</v>
      </c>
      <c r="E425" s="48">
        <v>1150</v>
      </c>
      <c r="F425" s="48" t="s">
        <v>15</v>
      </c>
      <c r="G425" s="48" t="s">
        <v>1</v>
      </c>
      <c r="H425" s="48" t="s">
        <v>3</v>
      </c>
      <c r="I425" s="47" t="s">
        <v>30</v>
      </c>
      <c r="J425" s="57">
        <v>46143</v>
      </c>
      <c r="K425" s="45">
        <v>406.9260000000001</v>
      </c>
    </row>
    <row r="426" spans="3:11" x14ac:dyDescent="0.2">
      <c r="C426" s="48">
        <v>1159</v>
      </c>
      <c r="D426" s="48" t="s">
        <v>14</v>
      </c>
      <c r="E426" s="48">
        <v>1150</v>
      </c>
      <c r="F426" s="48" t="s">
        <v>15</v>
      </c>
      <c r="G426" s="48" t="s">
        <v>1</v>
      </c>
      <c r="H426" s="48" t="s">
        <v>3</v>
      </c>
      <c r="I426" s="47" t="s">
        <v>29</v>
      </c>
      <c r="J426" s="57">
        <v>46143</v>
      </c>
      <c r="K426" s="45">
        <v>0</v>
      </c>
    </row>
    <row r="427" spans="3:11" x14ac:dyDescent="0.2">
      <c r="C427" s="48">
        <v>1159</v>
      </c>
      <c r="D427" s="48" t="s">
        <v>14</v>
      </c>
      <c r="E427" s="48">
        <v>1150</v>
      </c>
      <c r="F427" s="48" t="s">
        <v>15</v>
      </c>
      <c r="G427" s="48" t="s">
        <v>1</v>
      </c>
      <c r="H427" s="48" t="s">
        <v>3</v>
      </c>
      <c r="I427" s="47" t="s">
        <v>28</v>
      </c>
      <c r="J427" s="57">
        <v>46143</v>
      </c>
      <c r="K427" s="45">
        <v>16171.663411111111</v>
      </c>
    </row>
    <row r="428" spans="3:11" x14ac:dyDescent="0.2">
      <c r="C428" s="48">
        <v>1159</v>
      </c>
      <c r="D428" s="48" t="s">
        <v>14</v>
      </c>
      <c r="E428" s="48">
        <v>1150</v>
      </c>
      <c r="F428" s="48" t="s">
        <v>15</v>
      </c>
      <c r="G428" s="48" t="s">
        <v>1</v>
      </c>
      <c r="H428" s="48" t="s">
        <v>3</v>
      </c>
      <c r="I428" s="47" t="s">
        <v>27</v>
      </c>
      <c r="J428" s="57">
        <v>46143</v>
      </c>
      <c r="K428" s="45">
        <v>6709.8682119999994</v>
      </c>
    </row>
    <row r="429" spans="3:11" x14ac:dyDescent="0.2">
      <c r="C429" s="48">
        <v>1159</v>
      </c>
      <c r="D429" s="48" t="s">
        <v>14</v>
      </c>
      <c r="E429" s="48">
        <v>1150</v>
      </c>
      <c r="F429" s="48" t="s">
        <v>15</v>
      </c>
      <c r="G429" s="48" t="s">
        <v>1</v>
      </c>
      <c r="H429" s="48" t="s">
        <v>3</v>
      </c>
      <c r="I429" s="47" t="s">
        <v>26</v>
      </c>
      <c r="J429" s="57">
        <v>46143</v>
      </c>
      <c r="K429" s="45">
        <v>186.53433629359998</v>
      </c>
    </row>
    <row r="430" spans="3:11" x14ac:dyDescent="0.2">
      <c r="C430" s="48">
        <v>1159</v>
      </c>
      <c r="D430" s="48" t="s">
        <v>14</v>
      </c>
      <c r="E430" s="48">
        <v>1150</v>
      </c>
      <c r="F430" s="48" t="s">
        <v>15</v>
      </c>
      <c r="G430" s="48" t="s">
        <v>1</v>
      </c>
      <c r="H430" s="48" t="s">
        <v>3</v>
      </c>
      <c r="I430" s="47" t="s">
        <v>25</v>
      </c>
      <c r="J430" s="57">
        <v>46143</v>
      </c>
      <c r="K430" s="45">
        <v>558.93202205960006</v>
      </c>
    </row>
    <row r="431" spans="3:11" x14ac:dyDescent="0.2">
      <c r="C431" s="48">
        <v>1159</v>
      </c>
      <c r="D431" s="48" t="s">
        <v>14</v>
      </c>
      <c r="E431" s="48">
        <v>1150</v>
      </c>
      <c r="F431" s="48" t="s">
        <v>15</v>
      </c>
      <c r="G431" s="48" t="s">
        <v>1</v>
      </c>
      <c r="H431" s="48" t="s">
        <v>3</v>
      </c>
      <c r="I431" s="47" t="s">
        <v>24</v>
      </c>
      <c r="J431" s="57">
        <v>46143</v>
      </c>
      <c r="K431" s="45">
        <v>7380.8550332000013</v>
      </c>
    </row>
    <row r="432" spans="3:11" x14ac:dyDescent="0.2">
      <c r="C432" s="48">
        <v>1159</v>
      </c>
      <c r="D432" s="48" t="s">
        <v>14</v>
      </c>
      <c r="E432" s="48">
        <v>1150</v>
      </c>
      <c r="F432" s="48" t="s">
        <v>15</v>
      </c>
      <c r="G432" s="48" t="s">
        <v>1</v>
      </c>
      <c r="H432" s="48" t="s">
        <v>3</v>
      </c>
      <c r="I432" s="47" t="s">
        <v>23</v>
      </c>
      <c r="J432" s="57">
        <v>46143</v>
      </c>
      <c r="K432" s="45">
        <v>205.18776992296003</v>
      </c>
    </row>
    <row r="433" spans="3:11" x14ac:dyDescent="0.2">
      <c r="C433" s="48">
        <v>1159</v>
      </c>
      <c r="D433" s="48" t="s">
        <v>14</v>
      </c>
      <c r="E433" s="48">
        <v>1150</v>
      </c>
      <c r="F433" s="48" t="s">
        <v>15</v>
      </c>
      <c r="G433" s="48" t="s">
        <v>1</v>
      </c>
      <c r="H433" s="48" t="s">
        <v>3</v>
      </c>
      <c r="I433" s="47" t="s">
        <v>22</v>
      </c>
      <c r="J433" s="57">
        <v>46143</v>
      </c>
      <c r="K433" s="45">
        <v>233.16792036700002</v>
      </c>
    </row>
    <row r="434" spans="3:11" x14ac:dyDescent="0.2">
      <c r="C434" s="48">
        <v>1159</v>
      </c>
      <c r="D434" s="48" t="s">
        <v>14</v>
      </c>
      <c r="E434" s="48">
        <v>1150</v>
      </c>
      <c r="F434" s="48" t="s">
        <v>15</v>
      </c>
      <c r="G434" s="48" t="s">
        <v>1</v>
      </c>
      <c r="H434" s="48" t="s">
        <v>3</v>
      </c>
      <c r="I434" s="47" t="s">
        <v>21</v>
      </c>
      <c r="J434" s="57">
        <v>46143</v>
      </c>
      <c r="K434" s="45">
        <v>614.82522426556</v>
      </c>
    </row>
    <row r="435" spans="3:11" x14ac:dyDescent="0.2">
      <c r="C435" s="48">
        <v>1159</v>
      </c>
      <c r="D435" s="48" t="s">
        <v>14</v>
      </c>
      <c r="E435" s="48">
        <v>1150</v>
      </c>
      <c r="F435" s="48" t="s">
        <v>15</v>
      </c>
      <c r="G435" s="48" t="s">
        <v>1</v>
      </c>
      <c r="H435" s="48" t="s">
        <v>3</v>
      </c>
      <c r="I435" s="47" t="s">
        <v>20</v>
      </c>
      <c r="J435" s="57">
        <v>46143</v>
      </c>
      <c r="K435" s="45">
        <v>698.66502757450007</v>
      </c>
    </row>
    <row r="436" spans="3:11" x14ac:dyDescent="0.2">
      <c r="C436" s="48">
        <v>1159</v>
      </c>
      <c r="D436" s="48" t="s">
        <v>14</v>
      </c>
      <c r="E436" s="48">
        <v>1150</v>
      </c>
      <c r="F436" s="48" t="s">
        <v>15</v>
      </c>
      <c r="G436" s="48" t="s">
        <v>1</v>
      </c>
      <c r="H436" s="48" t="s">
        <v>3</v>
      </c>
      <c r="I436" s="47" t="s">
        <v>19</v>
      </c>
      <c r="J436" s="57">
        <v>46143</v>
      </c>
      <c r="K436" s="45">
        <v>8387.3352649999997</v>
      </c>
    </row>
    <row r="437" spans="3:11" x14ac:dyDescent="0.2">
      <c r="C437" s="48">
        <v>1159</v>
      </c>
      <c r="D437" s="48" t="s">
        <v>14</v>
      </c>
      <c r="E437" s="48">
        <v>1150</v>
      </c>
      <c r="F437" s="48" t="s">
        <v>15</v>
      </c>
      <c r="G437" s="48" t="s">
        <v>1</v>
      </c>
      <c r="H437" s="48" t="s">
        <v>3</v>
      </c>
      <c r="I437" s="47" t="s">
        <v>18</v>
      </c>
      <c r="J437" s="57">
        <v>46143</v>
      </c>
      <c r="K437" s="45">
        <v>81770.448869</v>
      </c>
    </row>
    <row r="438" spans="3:11" x14ac:dyDescent="0.2">
      <c r="C438" s="48">
        <v>1159</v>
      </c>
      <c r="D438" s="48" t="s">
        <v>14</v>
      </c>
      <c r="E438" s="48">
        <v>1150</v>
      </c>
      <c r="F438" s="48" t="s">
        <v>15</v>
      </c>
      <c r="G438" s="48" t="s">
        <v>1</v>
      </c>
      <c r="H438" s="48" t="s">
        <v>3</v>
      </c>
      <c r="I438" s="47" t="s">
        <v>17</v>
      </c>
      <c r="J438" s="57">
        <v>46143</v>
      </c>
      <c r="K438" s="45">
        <v>250.53599999999997</v>
      </c>
    </row>
    <row r="439" spans="3:11" x14ac:dyDescent="0.2">
      <c r="C439" s="48">
        <v>1159</v>
      </c>
      <c r="D439" s="48" t="s">
        <v>14</v>
      </c>
      <c r="E439" s="48">
        <v>1150</v>
      </c>
      <c r="F439" s="48" t="s">
        <v>15</v>
      </c>
      <c r="G439" s="48" t="s">
        <v>1</v>
      </c>
      <c r="H439" s="48" t="s">
        <v>3</v>
      </c>
      <c r="I439" s="47" t="s">
        <v>12</v>
      </c>
      <c r="J439" s="57">
        <v>46143</v>
      </c>
      <c r="K439" s="45">
        <v>11302.199999999999</v>
      </c>
    </row>
    <row r="440" spans="3:11" x14ac:dyDescent="0.2">
      <c r="C440" s="48">
        <v>1159</v>
      </c>
      <c r="D440" s="48" t="s">
        <v>14</v>
      </c>
      <c r="E440" s="48">
        <v>1150</v>
      </c>
      <c r="F440" s="48" t="s">
        <v>15</v>
      </c>
      <c r="G440" s="48" t="s">
        <v>1</v>
      </c>
      <c r="H440" s="48" t="s">
        <v>3</v>
      </c>
      <c r="I440" s="47" t="s">
        <v>16</v>
      </c>
      <c r="J440" s="57">
        <v>46143</v>
      </c>
      <c r="K440" s="45">
        <v>1010.52</v>
      </c>
    </row>
    <row r="441" spans="3:11" x14ac:dyDescent="0.2">
      <c r="C441" s="48">
        <v>1159</v>
      </c>
      <c r="D441" s="48" t="s">
        <v>14</v>
      </c>
      <c r="E441" s="48">
        <v>1159</v>
      </c>
      <c r="F441" s="48" t="s">
        <v>14</v>
      </c>
      <c r="G441" s="48" t="s">
        <v>1</v>
      </c>
      <c r="H441" s="48" t="s">
        <v>3</v>
      </c>
      <c r="I441" s="47" t="s">
        <v>39</v>
      </c>
      <c r="J441" s="57">
        <v>46143</v>
      </c>
      <c r="K441" s="45">
        <v>1689.9464319999997</v>
      </c>
    </row>
    <row r="442" spans="3:11" x14ac:dyDescent="0.2">
      <c r="C442" s="48">
        <v>1159</v>
      </c>
      <c r="D442" s="48" t="s">
        <v>14</v>
      </c>
      <c r="E442" s="48">
        <v>1159</v>
      </c>
      <c r="F442" s="48" t="s">
        <v>14</v>
      </c>
      <c r="G442" s="48" t="s">
        <v>1</v>
      </c>
      <c r="H442" s="48" t="s">
        <v>3</v>
      </c>
      <c r="I442" s="47" t="s">
        <v>32</v>
      </c>
      <c r="J442" s="57">
        <v>46143</v>
      </c>
      <c r="K442" s="45">
        <v>5063.7603519999993</v>
      </c>
    </row>
    <row r="443" spans="3:11" x14ac:dyDescent="0.2">
      <c r="C443" s="48">
        <v>1159</v>
      </c>
      <c r="D443" s="48" t="s">
        <v>14</v>
      </c>
      <c r="E443" s="48">
        <v>1159</v>
      </c>
      <c r="F443" s="48" t="s">
        <v>14</v>
      </c>
      <c r="G443" s="48" t="s">
        <v>1</v>
      </c>
      <c r="H443" s="48" t="s">
        <v>3</v>
      </c>
      <c r="I443" s="47" t="s">
        <v>42</v>
      </c>
      <c r="J443" s="57">
        <v>46143</v>
      </c>
      <c r="K443" s="45">
        <v>0</v>
      </c>
    </row>
    <row r="444" spans="3:11" x14ac:dyDescent="0.2">
      <c r="C444" s="48">
        <v>1159</v>
      </c>
      <c r="D444" s="48" t="s">
        <v>14</v>
      </c>
      <c r="E444" s="48">
        <v>1159</v>
      </c>
      <c r="F444" s="48" t="s">
        <v>14</v>
      </c>
      <c r="G444" s="48" t="s">
        <v>1</v>
      </c>
      <c r="H444" s="48" t="s">
        <v>3</v>
      </c>
      <c r="I444" s="47" t="s">
        <v>442</v>
      </c>
      <c r="J444" s="57">
        <v>46143</v>
      </c>
      <c r="K444" s="45">
        <v>2612.88</v>
      </c>
    </row>
    <row r="445" spans="3:11" x14ac:dyDescent="0.2">
      <c r="C445" s="48">
        <v>1159</v>
      </c>
      <c r="D445" s="48" t="s">
        <v>14</v>
      </c>
      <c r="E445" s="48">
        <v>1159</v>
      </c>
      <c r="F445" s="48" t="s">
        <v>14</v>
      </c>
      <c r="G445" s="48" t="s">
        <v>1</v>
      </c>
      <c r="H445" s="48" t="s">
        <v>3</v>
      </c>
      <c r="I445" s="47" t="s">
        <v>30</v>
      </c>
      <c r="J445" s="57">
        <v>46143</v>
      </c>
      <c r="K445" s="45">
        <v>86.58</v>
      </c>
    </row>
    <row r="446" spans="3:11" x14ac:dyDescent="0.2">
      <c r="C446" s="48">
        <v>1159</v>
      </c>
      <c r="D446" s="48" t="s">
        <v>14</v>
      </c>
      <c r="E446" s="48">
        <v>1159</v>
      </c>
      <c r="F446" s="48" t="s">
        <v>14</v>
      </c>
      <c r="G446" s="48" t="s">
        <v>1</v>
      </c>
      <c r="H446" s="48" t="s">
        <v>3</v>
      </c>
      <c r="I446" s="47" t="s">
        <v>29</v>
      </c>
      <c r="J446" s="57">
        <v>46143</v>
      </c>
      <c r="K446" s="45">
        <v>0</v>
      </c>
    </row>
    <row r="447" spans="3:11" x14ac:dyDescent="0.2">
      <c r="C447" s="48">
        <v>1159</v>
      </c>
      <c r="D447" s="48" t="s">
        <v>14</v>
      </c>
      <c r="E447" s="48">
        <v>1159</v>
      </c>
      <c r="F447" s="48" t="s">
        <v>14</v>
      </c>
      <c r="G447" s="48" t="s">
        <v>1</v>
      </c>
      <c r="H447" s="48" t="s">
        <v>3</v>
      </c>
      <c r="I447" s="47" t="s">
        <v>28</v>
      </c>
      <c r="J447" s="57">
        <v>46143</v>
      </c>
      <c r="K447" s="45">
        <v>36495.199999999997</v>
      </c>
    </row>
    <row r="448" spans="3:11" x14ac:dyDescent="0.2">
      <c r="C448" s="48">
        <v>1159</v>
      </c>
      <c r="D448" s="48" t="s">
        <v>14</v>
      </c>
      <c r="E448" s="48">
        <v>1159</v>
      </c>
      <c r="F448" s="48" t="s">
        <v>14</v>
      </c>
      <c r="G448" s="48" t="s">
        <v>1</v>
      </c>
      <c r="H448" s="48" t="s">
        <v>3</v>
      </c>
      <c r="I448" s="47" t="s">
        <v>27</v>
      </c>
      <c r="J448" s="57">
        <v>46143</v>
      </c>
      <c r="K448" s="45">
        <v>4863.1552000000001</v>
      </c>
    </row>
    <row r="449" spans="3:11" x14ac:dyDescent="0.2">
      <c r="C449" s="48">
        <v>1159</v>
      </c>
      <c r="D449" s="48" t="s">
        <v>14</v>
      </c>
      <c r="E449" s="48">
        <v>1159</v>
      </c>
      <c r="F449" s="48" t="s">
        <v>14</v>
      </c>
      <c r="G449" s="48" t="s">
        <v>1</v>
      </c>
      <c r="H449" s="48" t="s">
        <v>3</v>
      </c>
      <c r="I449" s="47" t="s">
        <v>26</v>
      </c>
      <c r="J449" s="57">
        <v>46143</v>
      </c>
      <c r="K449" s="45">
        <v>135.19571456</v>
      </c>
    </row>
    <row r="450" spans="3:11" x14ac:dyDescent="0.2">
      <c r="C450" s="48">
        <v>1159</v>
      </c>
      <c r="D450" s="48" t="s">
        <v>14</v>
      </c>
      <c r="E450" s="48">
        <v>1159</v>
      </c>
      <c r="F450" s="48" t="s">
        <v>14</v>
      </c>
      <c r="G450" s="48" t="s">
        <v>1</v>
      </c>
      <c r="H450" s="48" t="s">
        <v>3</v>
      </c>
      <c r="I450" s="47" t="s">
        <v>25</v>
      </c>
      <c r="J450" s="57">
        <v>46143</v>
      </c>
      <c r="K450" s="45">
        <v>405.10082815999999</v>
      </c>
    </row>
    <row r="451" spans="3:11" x14ac:dyDescent="0.2">
      <c r="C451" s="48">
        <v>1159</v>
      </c>
      <c r="D451" s="48" t="s">
        <v>14</v>
      </c>
      <c r="E451" s="48">
        <v>1159</v>
      </c>
      <c r="F451" s="48" t="s">
        <v>14</v>
      </c>
      <c r="G451" s="48" t="s">
        <v>1</v>
      </c>
      <c r="H451" s="48" t="s">
        <v>3</v>
      </c>
      <c r="I451" s="47" t="s">
        <v>24</v>
      </c>
      <c r="J451" s="57">
        <v>46143</v>
      </c>
      <c r="K451" s="45">
        <v>5349.4707200000003</v>
      </c>
    </row>
    <row r="452" spans="3:11" x14ac:dyDescent="0.2">
      <c r="C452" s="48">
        <v>1159</v>
      </c>
      <c r="D452" s="48" t="s">
        <v>14</v>
      </c>
      <c r="E452" s="48">
        <v>1159</v>
      </c>
      <c r="F452" s="48" t="s">
        <v>14</v>
      </c>
      <c r="G452" s="48" t="s">
        <v>1</v>
      </c>
      <c r="H452" s="48" t="s">
        <v>3</v>
      </c>
      <c r="I452" s="47" t="s">
        <v>23</v>
      </c>
      <c r="J452" s="57">
        <v>46143</v>
      </c>
      <c r="K452" s="45">
        <v>148.71528601599999</v>
      </c>
    </row>
    <row r="453" spans="3:11" x14ac:dyDescent="0.2">
      <c r="C453" s="48">
        <v>1159</v>
      </c>
      <c r="D453" s="48" t="s">
        <v>14</v>
      </c>
      <c r="E453" s="48">
        <v>1159</v>
      </c>
      <c r="F453" s="48" t="s">
        <v>14</v>
      </c>
      <c r="G453" s="48" t="s">
        <v>1</v>
      </c>
      <c r="H453" s="48" t="s">
        <v>3</v>
      </c>
      <c r="I453" s="47" t="s">
        <v>22</v>
      </c>
      <c r="J453" s="57">
        <v>46143</v>
      </c>
      <c r="K453" s="45">
        <v>168.99464319999998</v>
      </c>
    </row>
    <row r="454" spans="3:11" x14ac:dyDescent="0.2">
      <c r="C454" s="48">
        <v>1159</v>
      </c>
      <c r="D454" s="48" t="s">
        <v>14</v>
      </c>
      <c r="E454" s="48">
        <v>1159</v>
      </c>
      <c r="F454" s="48" t="s">
        <v>14</v>
      </c>
      <c r="G454" s="48" t="s">
        <v>1</v>
      </c>
      <c r="H454" s="48" t="s">
        <v>3</v>
      </c>
      <c r="I454" s="47" t="s">
        <v>21</v>
      </c>
      <c r="J454" s="57">
        <v>46143</v>
      </c>
      <c r="K454" s="45">
        <v>445.61091097600001</v>
      </c>
    </row>
    <row r="455" spans="3:11" x14ac:dyDescent="0.2">
      <c r="C455" s="48">
        <v>1159</v>
      </c>
      <c r="D455" s="48" t="s">
        <v>14</v>
      </c>
      <c r="E455" s="48">
        <v>1159</v>
      </c>
      <c r="F455" s="48" t="s">
        <v>14</v>
      </c>
      <c r="G455" s="48" t="s">
        <v>1</v>
      </c>
      <c r="H455" s="48" t="s">
        <v>3</v>
      </c>
      <c r="I455" s="47" t="s">
        <v>20</v>
      </c>
      <c r="J455" s="57">
        <v>46143</v>
      </c>
      <c r="K455" s="45">
        <v>506.37603520000005</v>
      </c>
    </row>
    <row r="456" spans="3:11" x14ac:dyDescent="0.2">
      <c r="C456" s="48">
        <v>1159</v>
      </c>
      <c r="D456" s="48" t="s">
        <v>14</v>
      </c>
      <c r="E456" s="48">
        <v>1159</v>
      </c>
      <c r="F456" s="48" t="s">
        <v>14</v>
      </c>
      <c r="G456" s="48" t="s">
        <v>1</v>
      </c>
      <c r="H456" s="48" t="s">
        <v>3</v>
      </c>
      <c r="I456" s="47" t="s">
        <v>19</v>
      </c>
      <c r="J456" s="57">
        <v>46143</v>
      </c>
      <c r="K456" s="45">
        <v>6078.9440000000004</v>
      </c>
    </row>
    <row r="457" spans="3:11" x14ac:dyDescent="0.2">
      <c r="C457" s="48">
        <v>1159</v>
      </c>
      <c r="D457" s="48" t="s">
        <v>14</v>
      </c>
      <c r="E457" s="48">
        <v>1159</v>
      </c>
      <c r="F457" s="48" t="s">
        <v>14</v>
      </c>
      <c r="G457" s="48" t="s">
        <v>1</v>
      </c>
      <c r="H457" s="48" t="s">
        <v>3</v>
      </c>
      <c r="I457" s="47" t="s">
        <v>18</v>
      </c>
      <c r="J457" s="57">
        <v>46143</v>
      </c>
      <c r="K457" s="45">
        <v>60142.04</v>
      </c>
    </row>
    <row r="458" spans="3:11" x14ac:dyDescent="0.2">
      <c r="C458" s="48">
        <v>1159</v>
      </c>
      <c r="D458" s="48" t="s">
        <v>14</v>
      </c>
      <c r="E458" s="48">
        <v>1159</v>
      </c>
      <c r="F458" s="48" t="s">
        <v>14</v>
      </c>
      <c r="G458" s="48" t="s">
        <v>1</v>
      </c>
      <c r="H458" s="48" t="s">
        <v>3</v>
      </c>
      <c r="I458" s="47" t="s">
        <v>17</v>
      </c>
      <c r="J458" s="57">
        <v>46143</v>
      </c>
      <c r="K458" s="45">
        <v>57.816000000000003</v>
      </c>
    </row>
    <row r="459" spans="3:11" x14ac:dyDescent="0.2">
      <c r="C459" s="48">
        <v>1159</v>
      </c>
      <c r="D459" s="48" t="s">
        <v>14</v>
      </c>
      <c r="E459" s="48">
        <v>1159</v>
      </c>
      <c r="F459" s="48" t="s">
        <v>14</v>
      </c>
      <c r="G459" s="48" t="s">
        <v>1</v>
      </c>
      <c r="H459" s="48" t="s">
        <v>3</v>
      </c>
      <c r="I459" s="47" t="s">
        <v>12</v>
      </c>
      <c r="J459" s="57">
        <v>46143</v>
      </c>
      <c r="K459" s="45">
        <v>2633.3999999999996</v>
      </c>
    </row>
    <row r="460" spans="3:11" x14ac:dyDescent="0.2">
      <c r="C460" s="48">
        <v>1159</v>
      </c>
      <c r="D460" s="48" t="s">
        <v>14</v>
      </c>
      <c r="E460" s="48">
        <v>1159</v>
      </c>
      <c r="F460" s="48" t="s">
        <v>14</v>
      </c>
      <c r="G460" s="48" t="s">
        <v>1</v>
      </c>
      <c r="H460" s="48" t="s">
        <v>3</v>
      </c>
      <c r="I460" s="47" t="s">
        <v>16</v>
      </c>
      <c r="J460" s="57">
        <v>46143</v>
      </c>
      <c r="K460" s="45">
        <v>0</v>
      </c>
    </row>
    <row r="461" spans="3:11" x14ac:dyDescent="0.2">
      <c r="C461" s="48">
        <v>1159</v>
      </c>
      <c r="D461" s="48" t="s">
        <v>14</v>
      </c>
      <c r="E461" s="48">
        <v>1160</v>
      </c>
      <c r="F461" s="48" t="s">
        <v>13</v>
      </c>
      <c r="G461" s="48" t="s">
        <v>1</v>
      </c>
      <c r="H461" s="48" t="s">
        <v>3</v>
      </c>
      <c r="I461" s="47" t="s">
        <v>39</v>
      </c>
      <c r="J461" s="57">
        <v>46143</v>
      </c>
      <c r="K461" s="45">
        <v>2001.3657210599997</v>
      </c>
    </row>
    <row r="462" spans="3:11" x14ac:dyDescent="0.2">
      <c r="C462" s="48">
        <v>1159</v>
      </c>
      <c r="D462" s="48" t="s">
        <v>14</v>
      </c>
      <c r="E462" s="48">
        <v>1160</v>
      </c>
      <c r="F462" s="48" t="s">
        <v>13</v>
      </c>
      <c r="G462" s="48" t="s">
        <v>1</v>
      </c>
      <c r="H462" s="48" t="s">
        <v>3</v>
      </c>
      <c r="I462" s="47" t="s">
        <v>32</v>
      </c>
      <c r="J462" s="57">
        <v>46143</v>
      </c>
      <c r="K462" s="45">
        <v>5996.8980059099995</v>
      </c>
    </row>
    <row r="463" spans="3:11" x14ac:dyDescent="0.2">
      <c r="C463" s="48">
        <v>1159</v>
      </c>
      <c r="D463" s="48" t="s">
        <v>14</v>
      </c>
      <c r="E463" s="48">
        <v>1160</v>
      </c>
      <c r="F463" s="48" t="s">
        <v>13</v>
      </c>
      <c r="G463" s="48" t="s">
        <v>1</v>
      </c>
      <c r="H463" s="48" t="s">
        <v>3</v>
      </c>
      <c r="I463" s="47" t="s">
        <v>42</v>
      </c>
      <c r="J463" s="57">
        <v>46143</v>
      </c>
      <c r="K463" s="45">
        <v>0</v>
      </c>
    </row>
    <row r="464" spans="3:11" x14ac:dyDescent="0.2">
      <c r="C464" s="48">
        <v>1159</v>
      </c>
      <c r="D464" s="48" t="s">
        <v>14</v>
      </c>
      <c r="E464" s="48">
        <v>1160</v>
      </c>
      <c r="F464" s="48" t="s">
        <v>13</v>
      </c>
      <c r="G464" s="48" t="s">
        <v>1</v>
      </c>
      <c r="H464" s="48" t="s">
        <v>3</v>
      </c>
      <c r="I464" s="47" t="s">
        <v>442</v>
      </c>
      <c r="J464" s="57">
        <v>46143</v>
      </c>
      <c r="K464" s="45">
        <v>8293.52</v>
      </c>
    </row>
    <row r="465" spans="3:11" x14ac:dyDescent="0.2">
      <c r="C465" s="48">
        <v>1159</v>
      </c>
      <c r="D465" s="48" t="s">
        <v>14</v>
      </c>
      <c r="E465" s="48">
        <v>1160</v>
      </c>
      <c r="F465" s="48" t="s">
        <v>13</v>
      </c>
      <c r="G465" s="48" t="s">
        <v>1</v>
      </c>
      <c r="H465" s="48" t="s">
        <v>3</v>
      </c>
      <c r="I465" s="47" t="s">
        <v>30</v>
      </c>
      <c r="J465" s="57">
        <v>46143</v>
      </c>
      <c r="K465" s="45">
        <v>349.20600000000007</v>
      </c>
    </row>
    <row r="466" spans="3:11" x14ac:dyDescent="0.2">
      <c r="C466" s="48">
        <v>1159</v>
      </c>
      <c r="D466" s="48" t="s">
        <v>14</v>
      </c>
      <c r="E466" s="48">
        <v>1160</v>
      </c>
      <c r="F466" s="48" t="s">
        <v>13</v>
      </c>
      <c r="G466" s="48" t="s">
        <v>1</v>
      </c>
      <c r="H466" s="48" t="s">
        <v>3</v>
      </c>
      <c r="I466" s="47" t="s">
        <v>29</v>
      </c>
      <c r="J466" s="57">
        <v>46143</v>
      </c>
      <c r="K466" s="45">
        <v>0</v>
      </c>
    </row>
    <row r="467" spans="3:11" x14ac:dyDescent="0.2">
      <c r="C467" s="48">
        <v>1159</v>
      </c>
      <c r="D467" s="48" t="s">
        <v>14</v>
      </c>
      <c r="E467" s="48">
        <v>1160</v>
      </c>
      <c r="F467" s="48" t="s">
        <v>13</v>
      </c>
      <c r="G467" s="48" t="s">
        <v>1</v>
      </c>
      <c r="H467" s="48" t="s">
        <v>3</v>
      </c>
      <c r="I467" s="47" t="s">
        <v>28</v>
      </c>
      <c r="J467" s="57">
        <v>46143</v>
      </c>
      <c r="K467" s="45">
        <v>15950.890851851849</v>
      </c>
    </row>
    <row r="468" spans="3:11" x14ac:dyDescent="0.2">
      <c r="C468" s="48">
        <v>1159</v>
      </c>
      <c r="D468" s="48" t="s">
        <v>14</v>
      </c>
      <c r="E468" s="48">
        <v>1160</v>
      </c>
      <c r="F468" s="48" t="s">
        <v>13</v>
      </c>
      <c r="G468" s="48" t="s">
        <v>1</v>
      </c>
      <c r="H468" s="48" t="s">
        <v>3</v>
      </c>
      <c r="I468" s="47" t="s">
        <v>27</v>
      </c>
      <c r="J468" s="57">
        <v>46143</v>
      </c>
      <c r="K468" s="45">
        <v>5759.3258160000005</v>
      </c>
    </row>
    <row r="469" spans="3:11" x14ac:dyDescent="0.2">
      <c r="C469" s="48">
        <v>1159</v>
      </c>
      <c r="D469" s="48" t="s">
        <v>14</v>
      </c>
      <c r="E469" s="48">
        <v>1160</v>
      </c>
      <c r="F469" s="48" t="s">
        <v>13</v>
      </c>
      <c r="G469" s="48" t="s">
        <v>1</v>
      </c>
      <c r="H469" s="48" t="s">
        <v>3</v>
      </c>
      <c r="I469" s="47" t="s">
        <v>26</v>
      </c>
      <c r="J469" s="57">
        <v>46143</v>
      </c>
      <c r="K469" s="45">
        <v>160.10925768479999</v>
      </c>
    </row>
    <row r="470" spans="3:11" x14ac:dyDescent="0.2">
      <c r="C470" s="48">
        <v>1159</v>
      </c>
      <c r="D470" s="48" t="s">
        <v>14</v>
      </c>
      <c r="E470" s="48">
        <v>1160</v>
      </c>
      <c r="F470" s="48" t="s">
        <v>13</v>
      </c>
      <c r="G470" s="48" t="s">
        <v>1</v>
      </c>
      <c r="H470" s="48" t="s">
        <v>3</v>
      </c>
      <c r="I470" s="47" t="s">
        <v>25</v>
      </c>
      <c r="J470" s="57">
        <v>46143</v>
      </c>
      <c r="K470" s="45">
        <v>479.75184047279998</v>
      </c>
    </row>
    <row r="471" spans="3:11" x14ac:dyDescent="0.2">
      <c r="C471" s="48">
        <v>1159</v>
      </c>
      <c r="D471" s="48" t="s">
        <v>14</v>
      </c>
      <c r="E471" s="48">
        <v>1160</v>
      </c>
      <c r="F471" s="48" t="s">
        <v>13</v>
      </c>
      <c r="G471" s="48" t="s">
        <v>1</v>
      </c>
      <c r="H471" s="48" t="s">
        <v>3</v>
      </c>
      <c r="I471" s="47" t="s">
        <v>24</v>
      </c>
      <c r="J471" s="57">
        <v>46143</v>
      </c>
      <c r="K471" s="45">
        <v>6335.2583976000014</v>
      </c>
    </row>
    <row r="472" spans="3:11" x14ac:dyDescent="0.2">
      <c r="C472" s="48">
        <v>1159</v>
      </c>
      <c r="D472" s="48" t="s">
        <v>14</v>
      </c>
      <c r="E472" s="48">
        <v>1160</v>
      </c>
      <c r="F472" s="48" t="s">
        <v>13</v>
      </c>
      <c r="G472" s="48" t="s">
        <v>1</v>
      </c>
      <c r="H472" s="48" t="s">
        <v>3</v>
      </c>
      <c r="I472" s="47" t="s">
        <v>23</v>
      </c>
      <c r="J472" s="57">
        <v>46143</v>
      </c>
      <c r="K472" s="45">
        <v>176.12018345327999</v>
      </c>
    </row>
    <row r="473" spans="3:11" x14ac:dyDescent="0.2">
      <c r="C473" s="48">
        <v>1159</v>
      </c>
      <c r="D473" s="48" t="s">
        <v>14</v>
      </c>
      <c r="E473" s="48">
        <v>1160</v>
      </c>
      <c r="F473" s="48" t="s">
        <v>13</v>
      </c>
      <c r="G473" s="48" t="s">
        <v>1</v>
      </c>
      <c r="H473" s="48" t="s">
        <v>3</v>
      </c>
      <c r="I473" s="47" t="s">
        <v>22</v>
      </c>
      <c r="J473" s="57">
        <v>46143</v>
      </c>
      <c r="K473" s="45">
        <v>200.13657210599996</v>
      </c>
    </row>
    <row r="474" spans="3:11" x14ac:dyDescent="0.2">
      <c r="C474" s="48">
        <v>1159</v>
      </c>
      <c r="D474" s="48" t="s">
        <v>14</v>
      </c>
      <c r="E474" s="48">
        <v>1160</v>
      </c>
      <c r="F474" s="48" t="s">
        <v>13</v>
      </c>
      <c r="G474" s="48" t="s">
        <v>1</v>
      </c>
      <c r="H474" s="48" t="s">
        <v>3</v>
      </c>
      <c r="I474" s="47" t="s">
        <v>21</v>
      </c>
      <c r="J474" s="57">
        <v>46143</v>
      </c>
      <c r="K474" s="45">
        <v>527.72702452008002</v>
      </c>
    </row>
    <row r="475" spans="3:11" x14ac:dyDescent="0.2">
      <c r="C475" s="48">
        <v>1159</v>
      </c>
      <c r="D475" s="48" t="s">
        <v>14</v>
      </c>
      <c r="E475" s="48">
        <v>1160</v>
      </c>
      <c r="F475" s="48" t="s">
        <v>13</v>
      </c>
      <c r="G475" s="48" t="s">
        <v>1</v>
      </c>
      <c r="H475" s="48" t="s">
        <v>3</v>
      </c>
      <c r="I475" s="47" t="s">
        <v>20</v>
      </c>
      <c r="J475" s="57">
        <v>46143</v>
      </c>
      <c r="K475" s="45">
        <v>599.68980059099999</v>
      </c>
    </row>
    <row r="476" spans="3:11" x14ac:dyDescent="0.2">
      <c r="C476" s="48">
        <v>1159</v>
      </c>
      <c r="D476" s="48" t="s">
        <v>14</v>
      </c>
      <c r="E476" s="48">
        <v>1160</v>
      </c>
      <c r="F476" s="48" t="s">
        <v>13</v>
      </c>
      <c r="G476" s="48" t="s">
        <v>1</v>
      </c>
      <c r="H476" s="48" t="s">
        <v>3</v>
      </c>
      <c r="I476" s="47" t="s">
        <v>19</v>
      </c>
      <c r="J476" s="57">
        <v>46143</v>
      </c>
      <c r="K476" s="45">
        <v>7199.1572699999997</v>
      </c>
    </row>
    <row r="477" spans="3:11" x14ac:dyDescent="0.2">
      <c r="C477" s="48">
        <v>1159</v>
      </c>
      <c r="D477" s="48" t="s">
        <v>14</v>
      </c>
      <c r="E477" s="48">
        <v>1160</v>
      </c>
      <c r="F477" s="48" t="s">
        <v>13</v>
      </c>
      <c r="G477" s="48" t="s">
        <v>1</v>
      </c>
      <c r="H477" s="48" t="s">
        <v>3</v>
      </c>
      <c r="I477" s="47" t="s">
        <v>18</v>
      </c>
      <c r="J477" s="57">
        <v>46143</v>
      </c>
      <c r="K477" s="45">
        <v>70471.816699999996</v>
      </c>
    </row>
    <row r="478" spans="3:11" x14ac:dyDescent="0.2">
      <c r="C478" s="48">
        <v>1159</v>
      </c>
      <c r="D478" s="48" t="s">
        <v>14</v>
      </c>
      <c r="E478" s="48">
        <v>1160</v>
      </c>
      <c r="F478" s="48" t="s">
        <v>13</v>
      </c>
      <c r="G478" s="48" t="s">
        <v>1</v>
      </c>
      <c r="H478" s="48" t="s">
        <v>3</v>
      </c>
      <c r="I478" s="47" t="s">
        <v>17</v>
      </c>
      <c r="J478" s="57">
        <v>46143</v>
      </c>
      <c r="K478" s="45">
        <v>211.99199999999999</v>
      </c>
    </row>
    <row r="479" spans="3:11" x14ac:dyDescent="0.2">
      <c r="C479" s="48">
        <v>1159</v>
      </c>
      <c r="D479" s="48" t="s">
        <v>14</v>
      </c>
      <c r="E479" s="48">
        <v>1160</v>
      </c>
      <c r="F479" s="48" t="s">
        <v>13</v>
      </c>
      <c r="G479" s="48" t="s">
        <v>1</v>
      </c>
      <c r="H479" s="48" t="s">
        <v>3</v>
      </c>
      <c r="I479" s="47" t="s">
        <v>12</v>
      </c>
      <c r="J479" s="57">
        <v>46143</v>
      </c>
      <c r="K479" s="45">
        <v>9655.7999999999993</v>
      </c>
    </row>
    <row r="480" spans="3:11" x14ac:dyDescent="0.2">
      <c r="C480" s="48">
        <v>1159</v>
      </c>
      <c r="D480" s="48" t="s">
        <v>14</v>
      </c>
      <c r="E480" s="48">
        <v>1160</v>
      </c>
      <c r="F480" s="48" t="s">
        <v>13</v>
      </c>
      <c r="G480" s="48" t="s">
        <v>1</v>
      </c>
      <c r="H480" s="48" t="s">
        <v>3</v>
      </c>
      <c r="I480" s="47" t="s">
        <v>16</v>
      </c>
      <c r="J480" s="57">
        <v>46143</v>
      </c>
      <c r="K480" s="45">
        <v>514.08000000000004</v>
      </c>
    </row>
  </sheetData>
  <mergeCells count="1">
    <mergeCell ref="C3:J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F86E-69DA-4376-BD97-C6043E824C75}">
  <sheetPr>
    <tabColor theme="1" tint="0.499984740745262"/>
    <outlinePr summaryRight="0"/>
  </sheetPr>
  <dimension ref="A1:Z133"/>
  <sheetViews>
    <sheetView showGridLines="0" zoomScale="90" zoomScaleNormal="90" workbookViewId="0">
      <pane xSplit="2" ySplit="5" topLeftCell="V6" activePane="bottomRight" state="frozen"/>
      <selection pane="topRight" activeCell="C1" sqref="C1"/>
      <selection pane="bottomLeft" activeCell="A6" sqref="A6"/>
      <selection pane="bottomRight" activeCell="Y1" sqref="Y1:Z1048576"/>
    </sheetView>
  </sheetViews>
  <sheetFormatPr baseColWidth="10" defaultColWidth="8.83203125" defaultRowHeight="14" outlineLevelCol="1" x14ac:dyDescent="0.2"/>
  <cols>
    <col min="1" max="1" width="2.6640625" style="1" customWidth="1"/>
    <col min="2" max="2" width="0.83203125" style="1" customWidth="1"/>
    <col min="3" max="3" width="20.6640625" style="21" bestFit="1" customWidth="1"/>
    <col min="4" max="4" width="38.83203125" style="21" bestFit="1" customWidth="1"/>
    <col min="5" max="5" width="18" style="21" bestFit="1" customWidth="1" outlineLevel="1"/>
    <col min="6" max="6" width="44.5" style="21" bestFit="1" customWidth="1" outlineLevel="1"/>
    <col min="7" max="7" width="20.83203125" style="21" bestFit="1" customWidth="1" outlineLevel="1"/>
    <col min="8" max="8" width="47.33203125" style="21" bestFit="1" customWidth="1" outlineLevel="1"/>
    <col min="9" max="9" width="78.5" style="1" bestFit="1" customWidth="1" outlineLevel="1"/>
    <col min="10" max="10" width="17.83203125" style="44" bestFit="1" customWidth="1"/>
    <col min="11" max="11" width="15.6640625" style="41" bestFit="1" customWidth="1" outlineLevel="1"/>
    <col min="12" max="12" width="16.5" style="41" bestFit="1" customWidth="1" outlineLevel="1"/>
    <col min="13" max="13" width="15.6640625" style="41" bestFit="1" customWidth="1" outlineLevel="1"/>
    <col min="14" max="17" width="16" style="41" bestFit="1" customWidth="1" outlineLevel="1"/>
    <col min="18" max="18" width="15.6640625" style="41" bestFit="1" customWidth="1" outlineLevel="1"/>
    <col min="19" max="19" width="16.6640625" style="41" bestFit="1" customWidth="1" outlineLevel="1"/>
    <col min="20" max="20" width="15.6640625" style="41" bestFit="1" customWidth="1" outlineLevel="1"/>
    <col min="21" max="22" width="17.1640625" style="41" bestFit="1" customWidth="1" outlineLevel="1"/>
    <col min="23" max="23" width="67" style="1" bestFit="1" customWidth="1" outlineLevel="1"/>
    <col min="24" max="24" width="187.6640625" style="1" bestFit="1" customWidth="1" outlineLevel="1"/>
    <col min="25" max="25" width="1" style="1" customWidth="1"/>
    <col min="26" max="26" width="2.6640625" style="1" customWidth="1"/>
    <col min="27" max="16384" width="8.83203125" style="1"/>
  </cols>
  <sheetData>
    <row r="1" spans="1:26" ht="34.25" customHeight="1" thickBot="1" x14ac:dyDescent="0.25">
      <c r="A1" s="8"/>
      <c r="B1" s="8"/>
      <c r="C1" s="35"/>
      <c r="D1" s="35"/>
      <c r="E1" s="35"/>
      <c r="F1" s="35"/>
      <c r="G1" s="35"/>
      <c r="H1" s="32"/>
      <c r="I1" s="34"/>
      <c r="J1" s="32"/>
      <c r="K1" s="32"/>
      <c r="L1" s="32"/>
      <c r="M1" s="32"/>
      <c r="N1" s="32"/>
      <c r="O1" s="32"/>
      <c r="P1" s="32"/>
      <c r="Q1" s="32"/>
      <c r="R1" s="33"/>
      <c r="S1" s="32"/>
      <c r="T1" s="31"/>
      <c r="U1" s="31"/>
      <c r="V1" s="31"/>
      <c r="W1" s="31"/>
      <c r="X1" s="31"/>
      <c r="Y1" s="8"/>
      <c r="Z1" s="36"/>
    </row>
    <row r="2" spans="1:26" ht="10.25" customHeight="1" thickTop="1" x14ac:dyDescent="0.2">
      <c r="A2" s="8"/>
      <c r="B2" s="8"/>
      <c r="C2" s="30"/>
      <c r="D2" s="26"/>
      <c r="E2" s="8"/>
      <c r="F2" s="29"/>
      <c r="G2" s="29"/>
      <c r="H2" s="27"/>
      <c r="I2" s="28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8"/>
      <c r="V2" s="8"/>
      <c r="W2" s="8"/>
      <c r="X2" s="8"/>
      <c r="Y2" s="8"/>
      <c r="Z2" s="36"/>
    </row>
    <row r="3" spans="1:26" s="71" customFormat="1" ht="19.5" customHeight="1" x14ac:dyDescent="0.2">
      <c r="A3" s="72"/>
      <c r="B3" s="73"/>
      <c r="C3" s="104" t="s">
        <v>466</v>
      </c>
      <c r="D3" s="104"/>
      <c r="E3" s="104"/>
      <c r="F3" s="104"/>
      <c r="G3" s="104"/>
      <c r="H3" s="104"/>
      <c r="I3" s="82" t="s">
        <v>465</v>
      </c>
      <c r="J3" s="78">
        <f t="shared" ref="J3:V3" si="0">SUBTOTAL(109,J6:J100)</f>
        <v>9901037.4548641238</v>
      </c>
      <c r="K3" s="78">
        <f t="shared" si="0"/>
        <v>771679.54942731583</v>
      </c>
      <c r="L3" s="78">
        <f t="shared" si="0"/>
        <v>790363.08729231602</v>
      </c>
      <c r="M3" s="78">
        <f t="shared" si="0"/>
        <v>816781.57783231593</v>
      </c>
      <c r="N3" s="78">
        <f t="shared" si="0"/>
        <v>817148.6205952788</v>
      </c>
      <c r="O3" s="78">
        <f t="shared" si="0"/>
        <v>848395.51763357082</v>
      </c>
      <c r="P3" s="78">
        <f t="shared" si="0"/>
        <v>881566.70025857084</v>
      </c>
      <c r="Q3" s="78">
        <f t="shared" si="0"/>
        <v>837767.05209023762</v>
      </c>
      <c r="R3" s="78">
        <f t="shared" si="0"/>
        <v>901879.4494219044</v>
      </c>
      <c r="S3" s="78">
        <f t="shared" si="0"/>
        <v>830225.39442190412</v>
      </c>
      <c r="T3" s="78">
        <f t="shared" si="0"/>
        <v>843481.73704690416</v>
      </c>
      <c r="U3" s="78">
        <f t="shared" si="0"/>
        <v>799970.70567190414</v>
      </c>
      <c r="V3" s="78">
        <f t="shared" si="0"/>
        <v>761778.0631719043</v>
      </c>
      <c r="W3" s="72"/>
      <c r="X3" s="72"/>
      <c r="Y3" s="8"/>
      <c r="Z3" s="36"/>
    </row>
    <row r="4" spans="1:26" ht="5" customHeight="1" x14ac:dyDescent="0.2">
      <c r="A4" s="8"/>
      <c r="B4" s="14"/>
      <c r="C4" s="25"/>
      <c r="E4" s="1"/>
      <c r="F4" s="24"/>
      <c r="G4" s="24"/>
      <c r="H4" s="22"/>
      <c r="I4" s="23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1"/>
      <c r="V4" s="1"/>
      <c r="Y4" s="36"/>
      <c r="Z4" s="36"/>
    </row>
    <row r="5" spans="1:26" s="14" customFormat="1" x14ac:dyDescent="0.2">
      <c r="A5" s="20"/>
      <c r="C5" s="49" t="s">
        <v>80</v>
      </c>
      <c r="D5" s="49" t="s">
        <v>707</v>
      </c>
      <c r="E5" s="49" t="s">
        <v>706</v>
      </c>
      <c r="F5" s="49" t="s">
        <v>708</v>
      </c>
      <c r="G5" s="49" t="s">
        <v>79</v>
      </c>
      <c r="H5" s="49" t="s">
        <v>78</v>
      </c>
      <c r="I5" s="51" t="s">
        <v>705</v>
      </c>
      <c r="J5" s="50" t="s">
        <v>82</v>
      </c>
      <c r="K5" s="50" t="s">
        <v>95</v>
      </c>
      <c r="L5" s="50" t="s">
        <v>94</v>
      </c>
      <c r="M5" s="50" t="s">
        <v>93</v>
      </c>
      <c r="N5" s="50" t="s">
        <v>92</v>
      </c>
      <c r="O5" s="50" t="s">
        <v>91</v>
      </c>
      <c r="P5" s="50" t="s">
        <v>89</v>
      </c>
      <c r="Q5" s="50" t="s">
        <v>88</v>
      </c>
      <c r="R5" s="50" t="s">
        <v>87</v>
      </c>
      <c r="S5" s="50" t="s">
        <v>86</v>
      </c>
      <c r="T5" s="50" t="s">
        <v>85</v>
      </c>
      <c r="U5" s="50" t="s">
        <v>84</v>
      </c>
      <c r="V5" s="50" t="s">
        <v>83</v>
      </c>
      <c r="W5" s="49" t="s">
        <v>464</v>
      </c>
      <c r="X5" s="49" t="s">
        <v>463</v>
      </c>
      <c r="Y5" s="5"/>
      <c r="Z5" s="5"/>
    </row>
    <row r="6" spans="1:26" x14ac:dyDescent="0.2">
      <c r="A6" s="8"/>
      <c r="C6" s="48">
        <v>1000</v>
      </c>
      <c r="D6" s="48" t="s">
        <v>70</v>
      </c>
      <c r="E6" s="48">
        <v>1003</v>
      </c>
      <c r="F6" s="48" t="s">
        <v>72</v>
      </c>
      <c r="G6" s="48" t="s">
        <v>1</v>
      </c>
      <c r="H6" s="48" t="s">
        <v>72</v>
      </c>
      <c r="I6" s="47" t="s">
        <v>74</v>
      </c>
      <c r="J6" s="46">
        <f t="shared" ref="J6:J8" si="1">SUM(K6+L6+M6+N6+O6+P6+Q6+R6+S6+T6+U6+V6)</f>
        <v>260000</v>
      </c>
      <c r="K6" s="45">
        <v>20000</v>
      </c>
      <c r="L6" s="45">
        <v>20000</v>
      </c>
      <c r="M6" s="45">
        <v>20000</v>
      </c>
      <c r="N6" s="45">
        <v>20000</v>
      </c>
      <c r="O6" s="45">
        <v>15000</v>
      </c>
      <c r="P6" s="45">
        <v>15000</v>
      </c>
      <c r="Q6" s="45">
        <v>25000</v>
      </c>
      <c r="R6" s="45">
        <v>40000</v>
      </c>
      <c r="S6" s="45">
        <v>20000</v>
      </c>
      <c r="T6" s="45">
        <v>20000</v>
      </c>
      <c r="U6" s="45">
        <v>30000</v>
      </c>
      <c r="V6" s="45">
        <v>15000</v>
      </c>
      <c r="W6" s="47"/>
      <c r="X6" s="47"/>
      <c r="Y6" s="26"/>
      <c r="Z6" s="5"/>
    </row>
    <row r="7" spans="1:26" x14ac:dyDescent="0.2">
      <c r="A7" s="8"/>
      <c r="C7" s="48">
        <v>1000</v>
      </c>
      <c r="D7" s="48" t="s">
        <v>70</v>
      </c>
      <c r="E7" s="48">
        <v>1003</v>
      </c>
      <c r="F7" s="48" t="s">
        <v>72</v>
      </c>
      <c r="G7" s="48" t="s">
        <v>1</v>
      </c>
      <c r="H7" s="48" t="s">
        <v>72</v>
      </c>
      <c r="I7" s="47" t="s">
        <v>73</v>
      </c>
      <c r="J7" s="46">
        <f t="shared" si="1"/>
        <v>7200</v>
      </c>
      <c r="K7" s="45">
        <v>600</v>
      </c>
      <c r="L7" s="45">
        <v>600</v>
      </c>
      <c r="M7" s="45">
        <v>600</v>
      </c>
      <c r="N7" s="45">
        <v>600</v>
      </c>
      <c r="O7" s="45">
        <v>600</v>
      </c>
      <c r="P7" s="45">
        <v>600</v>
      </c>
      <c r="Q7" s="45">
        <v>600</v>
      </c>
      <c r="R7" s="45">
        <v>600</v>
      </c>
      <c r="S7" s="45">
        <v>600</v>
      </c>
      <c r="T7" s="45">
        <v>600</v>
      </c>
      <c r="U7" s="45">
        <v>600</v>
      </c>
      <c r="V7" s="45">
        <v>600</v>
      </c>
      <c r="W7" s="47"/>
      <c r="X7" s="47"/>
      <c r="Y7" s="21"/>
      <c r="Z7" s="5"/>
    </row>
    <row r="8" spans="1:26" x14ac:dyDescent="0.2">
      <c r="A8" s="8"/>
      <c r="C8" s="48">
        <v>1000</v>
      </c>
      <c r="D8" s="48" t="s">
        <v>70</v>
      </c>
      <c r="E8" s="48">
        <v>1003</v>
      </c>
      <c r="F8" s="48" t="s">
        <v>72</v>
      </c>
      <c r="G8" s="48" t="s">
        <v>1</v>
      </c>
      <c r="H8" s="48" t="s">
        <v>72</v>
      </c>
      <c r="I8" s="47" t="s">
        <v>71</v>
      </c>
      <c r="J8" s="46">
        <f t="shared" si="1"/>
        <v>80000</v>
      </c>
      <c r="K8" s="45">
        <v>5000</v>
      </c>
      <c r="L8" s="45">
        <v>5000</v>
      </c>
      <c r="M8" s="45">
        <v>5000</v>
      </c>
      <c r="N8" s="45">
        <v>10000</v>
      </c>
      <c r="O8" s="45">
        <v>10000</v>
      </c>
      <c r="P8" s="45">
        <v>10000</v>
      </c>
      <c r="Q8" s="45">
        <v>5000</v>
      </c>
      <c r="R8" s="45">
        <v>5000</v>
      </c>
      <c r="S8" s="45">
        <v>5000</v>
      </c>
      <c r="T8" s="45">
        <v>10000</v>
      </c>
      <c r="U8" s="45">
        <v>5000</v>
      </c>
      <c r="V8" s="45">
        <v>5000</v>
      </c>
      <c r="W8" s="47"/>
      <c r="X8" s="47"/>
      <c r="Y8" s="14"/>
      <c r="Z8" s="5"/>
    </row>
    <row r="9" spans="1:26" ht="16" x14ac:dyDescent="0.2">
      <c r="A9" s="8"/>
      <c r="C9" s="48">
        <v>1159</v>
      </c>
      <c r="D9" s="48" t="s">
        <v>14</v>
      </c>
      <c r="E9" s="48">
        <v>1150</v>
      </c>
      <c r="F9" s="48" t="s">
        <v>15</v>
      </c>
      <c r="G9" s="48" t="s">
        <v>1</v>
      </c>
      <c r="H9" s="48" t="s">
        <v>132</v>
      </c>
      <c r="I9" s="47" t="s">
        <v>43</v>
      </c>
      <c r="J9" s="46">
        <f t="shared" ref="J9:J40" si="2">SUM(K9+L9+M9+N9+O9+P9+Q9+R9+S9+T9+U9+V9)</f>
        <v>2400</v>
      </c>
      <c r="K9" s="45">
        <v>200</v>
      </c>
      <c r="L9" s="45">
        <v>200</v>
      </c>
      <c r="M9" s="45">
        <v>200</v>
      </c>
      <c r="N9" s="45">
        <v>200</v>
      </c>
      <c r="O9" s="45">
        <v>200</v>
      </c>
      <c r="P9" s="45">
        <v>200</v>
      </c>
      <c r="Q9" s="45">
        <v>200</v>
      </c>
      <c r="R9" s="45">
        <v>200</v>
      </c>
      <c r="S9" s="45">
        <v>200</v>
      </c>
      <c r="T9" s="45">
        <v>200</v>
      </c>
      <c r="U9" s="45">
        <v>200</v>
      </c>
      <c r="V9" s="45">
        <v>200</v>
      </c>
      <c r="W9" s="47"/>
      <c r="X9" s="47" t="s">
        <v>445</v>
      </c>
      <c r="Y9" s="71"/>
      <c r="Z9" s="5"/>
    </row>
    <row r="10" spans="1:26" x14ac:dyDescent="0.2">
      <c r="A10" s="8"/>
      <c r="C10" s="48">
        <v>1159</v>
      </c>
      <c r="D10" s="48" t="s">
        <v>14</v>
      </c>
      <c r="E10" s="48">
        <v>1150</v>
      </c>
      <c r="F10" s="48" t="s">
        <v>15</v>
      </c>
      <c r="G10" s="48" t="s">
        <v>1</v>
      </c>
      <c r="H10" s="48" t="s">
        <v>0</v>
      </c>
      <c r="I10" s="47" t="s">
        <v>51</v>
      </c>
      <c r="J10" s="46">
        <f t="shared" si="2"/>
        <v>60000</v>
      </c>
      <c r="K10" s="45">
        <v>5000</v>
      </c>
      <c r="L10" s="45">
        <v>5000</v>
      </c>
      <c r="M10" s="45">
        <v>5000</v>
      </c>
      <c r="N10" s="45">
        <v>5000</v>
      </c>
      <c r="O10" s="45">
        <v>5000</v>
      </c>
      <c r="P10" s="45">
        <v>5000</v>
      </c>
      <c r="Q10" s="45">
        <v>5000</v>
      </c>
      <c r="R10" s="45">
        <v>5000</v>
      </c>
      <c r="S10" s="45">
        <v>5000</v>
      </c>
      <c r="T10" s="45">
        <v>5000</v>
      </c>
      <c r="U10" s="45">
        <v>5000</v>
      </c>
      <c r="V10" s="45">
        <v>5000</v>
      </c>
      <c r="W10" s="47"/>
      <c r="X10" s="47"/>
      <c r="Y10" s="9"/>
      <c r="Z10" s="5"/>
    </row>
    <row r="11" spans="1:26" x14ac:dyDescent="0.2">
      <c r="A11" s="8"/>
      <c r="C11" s="48">
        <v>1159</v>
      </c>
      <c r="D11" s="48" t="s">
        <v>14</v>
      </c>
      <c r="E11" s="48">
        <v>1150</v>
      </c>
      <c r="F11" s="48" t="s">
        <v>15</v>
      </c>
      <c r="G11" s="48" t="s">
        <v>1</v>
      </c>
      <c r="H11" s="48" t="s">
        <v>0</v>
      </c>
      <c r="I11" s="47" t="s">
        <v>447</v>
      </c>
      <c r="J11" s="46">
        <f t="shared" si="2"/>
        <v>36283.565999999999</v>
      </c>
      <c r="K11" s="45">
        <v>3023.6305000000002</v>
      </c>
      <c r="L11" s="45">
        <v>3023.6305000000002</v>
      </c>
      <c r="M11" s="45">
        <v>3023.6305000000002</v>
      </c>
      <c r="N11" s="45">
        <v>3023.6305000000002</v>
      </c>
      <c r="O11" s="45">
        <v>3023.6305000000002</v>
      </c>
      <c r="P11" s="45">
        <v>3023.6305000000002</v>
      </c>
      <c r="Q11" s="45">
        <v>3023.6305000000002</v>
      </c>
      <c r="R11" s="45">
        <v>3023.6305000000002</v>
      </c>
      <c r="S11" s="45">
        <v>3023.6305000000002</v>
      </c>
      <c r="T11" s="45">
        <v>3023.6305000000002</v>
      </c>
      <c r="U11" s="45">
        <v>3023.6305000000002</v>
      </c>
      <c r="V11" s="45">
        <v>3023.6305000000002</v>
      </c>
      <c r="W11" s="47"/>
      <c r="X11" s="47"/>
      <c r="Z11" s="5"/>
    </row>
    <row r="12" spans="1:26" x14ac:dyDescent="0.2">
      <c r="A12" s="8"/>
      <c r="C12" s="48">
        <v>1159</v>
      </c>
      <c r="D12" s="48" t="s">
        <v>14</v>
      </c>
      <c r="E12" s="48">
        <v>1150</v>
      </c>
      <c r="F12" s="48" t="s">
        <v>15</v>
      </c>
      <c r="G12" s="48" t="s">
        <v>1</v>
      </c>
      <c r="H12" s="48" t="s">
        <v>66</v>
      </c>
      <c r="I12" s="47" t="s">
        <v>67</v>
      </c>
      <c r="J12" s="46">
        <f t="shared" si="2"/>
        <v>1700000</v>
      </c>
      <c r="K12" s="45">
        <v>140000</v>
      </c>
      <c r="L12" s="45">
        <v>140000</v>
      </c>
      <c r="M12" s="45">
        <v>150000</v>
      </c>
      <c r="N12" s="45">
        <v>140000</v>
      </c>
      <c r="O12" s="45">
        <v>140000</v>
      </c>
      <c r="P12" s="45">
        <v>140000</v>
      </c>
      <c r="Q12" s="45">
        <v>140000</v>
      </c>
      <c r="R12" s="45">
        <v>140000</v>
      </c>
      <c r="S12" s="45">
        <v>140000</v>
      </c>
      <c r="T12" s="45">
        <v>140000</v>
      </c>
      <c r="U12" s="45">
        <v>150000</v>
      </c>
      <c r="V12" s="45">
        <v>140000</v>
      </c>
      <c r="W12" s="47"/>
      <c r="X12" s="47" t="s">
        <v>462</v>
      </c>
      <c r="Z12" s="5"/>
    </row>
    <row r="13" spans="1:26" x14ac:dyDescent="0.2">
      <c r="A13" s="8"/>
      <c r="C13" s="48">
        <v>1159</v>
      </c>
      <c r="D13" s="48" t="s">
        <v>14</v>
      </c>
      <c r="E13" s="48">
        <v>1150</v>
      </c>
      <c r="F13" s="48" t="s">
        <v>15</v>
      </c>
      <c r="G13" s="48" t="s">
        <v>1</v>
      </c>
      <c r="H13" s="48" t="s">
        <v>66</v>
      </c>
      <c r="I13" s="47" t="s">
        <v>68</v>
      </c>
      <c r="J13" s="46">
        <f t="shared" si="2"/>
        <v>1350000</v>
      </c>
      <c r="K13" s="45">
        <v>150000</v>
      </c>
      <c r="L13" s="45">
        <v>150000</v>
      </c>
      <c r="M13" s="45">
        <v>150000</v>
      </c>
      <c r="N13" s="45">
        <v>100000</v>
      </c>
      <c r="O13" s="45">
        <v>100000</v>
      </c>
      <c r="P13" s="45">
        <v>150000</v>
      </c>
      <c r="Q13" s="45">
        <v>100000</v>
      </c>
      <c r="R13" s="45">
        <v>150000</v>
      </c>
      <c r="S13" s="45">
        <v>100000</v>
      </c>
      <c r="T13" s="45">
        <v>100000</v>
      </c>
      <c r="U13" s="45">
        <v>50000</v>
      </c>
      <c r="V13" s="45">
        <v>50000</v>
      </c>
      <c r="W13" s="47"/>
      <c r="X13" s="47" t="s">
        <v>461</v>
      </c>
      <c r="Z13" s="5"/>
    </row>
    <row r="14" spans="1:26" x14ac:dyDescent="0.2">
      <c r="A14" s="8"/>
      <c r="C14" s="48">
        <v>1159</v>
      </c>
      <c r="D14" s="48" t="s">
        <v>14</v>
      </c>
      <c r="E14" s="48">
        <v>1150</v>
      </c>
      <c r="F14" s="48" t="s">
        <v>15</v>
      </c>
      <c r="G14" s="48" t="s">
        <v>1</v>
      </c>
      <c r="H14" s="48" t="s">
        <v>66</v>
      </c>
      <c r="I14" s="47" t="s">
        <v>69</v>
      </c>
      <c r="J14" s="46">
        <f t="shared" si="2"/>
        <v>220000</v>
      </c>
      <c r="K14" s="45">
        <v>10000</v>
      </c>
      <c r="L14" s="45">
        <v>15000</v>
      </c>
      <c r="M14" s="45">
        <v>30000</v>
      </c>
      <c r="N14" s="45">
        <v>10000</v>
      </c>
      <c r="O14" s="45">
        <v>30000</v>
      </c>
      <c r="P14" s="45">
        <v>15000</v>
      </c>
      <c r="Q14" s="45">
        <v>20000</v>
      </c>
      <c r="R14" s="45">
        <v>20000</v>
      </c>
      <c r="S14" s="45">
        <v>20000</v>
      </c>
      <c r="T14" s="45">
        <v>20000</v>
      </c>
      <c r="U14" s="45">
        <v>20000</v>
      </c>
      <c r="V14" s="45">
        <v>10000</v>
      </c>
      <c r="W14" s="47"/>
      <c r="X14" s="47" t="s">
        <v>460</v>
      </c>
      <c r="Z14" s="5"/>
    </row>
    <row r="15" spans="1:26" x14ac:dyDescent="0.2">
      <c r="A15" s="8"/>
      <c r="C15" s="48">
        <v>1159</v>
      </c>
      <c r="D15" s="48" t="s">
        <v>14</v>
      </c>
      <c r="E15" s="48">
        <v>1150</v>
      </c>
      <c r="F15" s="48" t="s">
        <v>15</v>
      </c>
      <c r="G15" s="48" t="s">
        <v>1</v>
      </c>
      <c r="H15" s="48" t="s">
        <v>66</v>
      </c>
      <c r="I15" s="47" t="s">
        <v>65</v>
      </c>
      <c r="J15" s="46">
        <f t="shared" si="2"/>
        <v>312046.59262499999</v>
      </c>
      <c r="K15" s="45">
        <v>24671.843625000001</v>
      </c>
      <c r="L15" s="45">
        <v>24671.843625000001</v>
      </c>
      <c r="M15" s="45">
        <v>24671.843625000001</v>
      </c>
      <c r="N15" s="45">
        <v>24671.843625000001</v>
      </c>
      <c r="O15" s="45">
        <v>30000</v>
      </c>
      <c r="P15" s="45">
        <v>24671.843625000001</v>
      </c>
      <c r="Q15" s="45">
        <v>24671.843625000001</v>
      </c>
      <c r="R15" s="45">
        <v>30000</v>
      </c>
      <c r="S15" s="45">
        <v>24671.843625000001</v>
      </c>
      <c r="T15" s="45">
        <v>30000</v>
      </c>
      <c r="U15" s="45">
        <v>24671.843625000001</v>
      </c>
      <c r="V15" s="45">
        <v>24671.843625000001</v>
      </c>
      <c r="W15" s="47"/>
      <c r="X15" s="47" t="s">
        <v>459</v>
      </c>
      <c r="Z15" s="5"/>
    </row>
    <row r="16" spans="1:26" x14ac:dyDescent="0.2">
      <c r="A16" s="8"/>
      <c r="C16" s="48">
        <v>1159</v>
      </c>
      <c r="D16" s="48" t="s">
        <v>14</v>
      </c>
      <c r="E16" s="48">
        <v>1150</v>
      </c>
      <c r="F16" s="48" t="s">
        <v>15</v>
      </c>
      <c r="G16" s="48" t="s">
        <v>1</v>
      </c>
      <c r="H16" s="48" t="s">
        <v>46</v>
      </c>
      <c r="I16" s="47" t="s">
        <v>48</v>
      </c>
      <c r="J16" s="46">
        <f t="shared" si="2"/>
        <v>34000</v>
      </c>
      <c r="K16" s="45">
        <v>2500</v>
      </c>
      <c r="L16" s="45">
        <v>2000</v>
      </c>
      <c r="M16" s="45">
        <v>2000</v>
      </c>
      <c r="N16" s="45">
        <v>5000</v>
      </c>
      <c r="O16" s="45">
        <v>2500</v>
      </c>
      <c r="P16" s="45">
        <v>5000</v>
      </c>
      <c r="Q16" s="45">
        <v>5000</v>
      </c>
      <c r="R16" s="45">
        <v>2000</v>
      </c>
      <c r="S16" s="45">
        <v>2000</v>
      </c>
      <c r="T16" s="45">
        <v>2000</v>
      </c>
      <c r="U16" s="45">
        <v>2000</v>
      </c>
      <c r="V16" s="45">
        <v>2000</v>
      </c>
      <c r="W16" s="47"/>
      <c r="X16" s="47" t="s">
        <v>458</v>
      </c>
      <c r="Z16" s="5"/>
    </row>
    <row r="17" spans="1:26" x14ac:dyDescent="0.2">
      <c r="A17" s="8"/>
      <c r="C17" s="48">
        <v>1159</v>
      </c>
      <c r="D17" s="48" t="s">
        <v>14</v>
      </c>
      <c r="E17" s="48">
        <v>1150</v>
      </c>
      <c r="F17" s="48" t="s">
        <v>15</v>
      </c>
      <c r="G17" s="48" t="s">
        <v>1</v>
      </c>
      <c r="H17" s="48" t="s">
        <v>41</v>
      </c>
      <c r="I17" s="47" t="s">
        <v>40</v>
      </c>
      <c r="J17" s="46">
        <f t="shared" si="2"/>
        <v>7374.7218750000002</v>
      </c>
      <c r="K17" s="45">
        <v>1000</v>
      </c>
      <c r="L17" s="45">
        <v>74.944374999999994</v>
      </c>
      <c r="M17" s="45">
        <v>1000</v>
      </c>
      <c r="N17" s="45">
        <v>1000</v>
      </c>
      <c r="O17" s="45">
        <v>74.944374999999994</v>
      </c>
      <c r="P17" s="45">
        <v>74.944374999999994</v>
      </c>
      <c r="Q17" s="45">
        <v>1000</v>
      </c>
      <c r="R17" s="45">
        <v>74.944374999999994</v>
      </c>
      <c r="S17" s="45">
        <v>1000</v>
      </c>
      <c r="T17" s="45">
        <v>1000</v>
      </c>
      <c r="U17" s="45">
        <v>1000</v>
      </c>
      <c r="V17" s="45">
        <v>74.944374999999994</v>
      </c>
      <c r="W17" s="47"/>
      <c r="X17" s="47"/>
      <c r="Z17" s="5"/>
    </row>
    <row r="18" spans="1:26" x14ac:dyDescent="0.2">
      <c r="A18" s="8"/>
      <c r="C18" s="48">
        <v>1159</v>
      </c>
      <c r="D18" s="48" t="s">
        <v>14</v>
      </c>
      <c r="E18" s="48">
        <v>1150</v>
      </c>
      <c r="F18" s="48" t="s">
        <v>15</v>
      </c>
      <c r="G18" s="48" t="s">
        <v>1</v>
      </c>
      <c r="H18" s="48" t="s">
        <v>132</v>
      </c>
      <c r="I18" s="47" t="s">
        <v>47</v>
      </c>
      <c r="J18" s="46">
        <f t="shared" si="2"/>
        <v>1440</v>
      </c>
      <c r="K18" s="45">
        <v>120</v>
      </c>
      <c r="L18" s="45">
        <v>120</v>
      </c>
      <c r="M18" s="45">
        <v>120</v>
      </c>
      <c r="N18" s="45">
        <v>120</v>
      </c>
      <c r="O18" s="45">
        <v>120</v>
      </c>
      <c r="P18" s="45">
        <v>120</v>
      </c>
      <c r="Q18" s="45">
        <v>120</v>
      </c>
      <c r="R18" s="45">
        <v>120</v>
      </c>
      <c r="S18" s="45">
        <v>120</v>
      </c>
      <c r="T18" s="45">
        <v>120</v>
      </c>
      <c r="U18" s="45">
        <v>120</v>
      </c>
      <c r="V18" s="45">
        <v>120</v>
      </c>
      <c r="W18" s="47"/>
      <c r="X18" s="47"/>
      <c r="Z18" s="5"/>
    </row>
    <row r="19" spans="1:26" x14ac:dyDescent="0.2">
      <c r="A19" s="8"/>
      <c r="C19" s="48">
        <v>1159</v>
      </c>
      <c r="D19" s="48" t="s">
        <v>14</v>
      </c>
      <c r="E19" s="48">
        <v>1150</v>
      </c>
      <c r="F19" s="48" t="s">
        <v>15</v>
      </c>
      <c r="G19" s="48" t="s">
        <v>1</v>
      </c>
      <c r="H19" s="48" t="s">
        <v>46</v>
      </c>
      <c r="I19" s="47" t="s">
        <v>64</v>
      </c>
      <c r="J19" s="46">
        <f t="shared" si="2"/>
        <v>0</v>
      </c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7"/>
      <c r="X19" s="47"/>
      <c r="Z19" s="5"/>
    </row>
    <row r="20" spans="1:26" x14ac:dyDescent="0.2">
      <c r="A20" s="8"/>
      <c r="C20" s="48">
        <v>1159</v>
      </c>
      <c r="D20" s="48" t="s">
        <v>14</v>
      </c>
      <c r="E20" s="48">
        <v>1150</v>
      </c>
      <c r="F20" s="48" t="s">
        <v>15</v>
      </c>
      <c r="G20" s="48" t="s">
        <v>1</v>
      </c>
      <c r="H20" s="48" t="s">
        <v>46</v>
      </c>
      <c r="I20" s="47" t="s">
        <v>63</v>
      </c>
      <c r="J20" s="46">
        <f t="shared" si="2"/>
        <v>0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7"/>
      <c r="X20" s="47"/>
      <c r="Z20" s="5"/>
    </row>
    <row r="21" spans="1:26" x14ac:dyDescent="0.2">
      <c r="A21" s="8"/>
      <c r="C21" s="48">
        <v>1159</v>
      </c>
      <c r="D21" s="48" t="s">
        <v>14</v>
      </c>
      <c r="E21" s="48">
        <v>1150</v>
      </c>
      <c r="F21" s="48" t="s">
        <v>15</v>
      </c>
      <c r="G21" s="48" t="s">
        <v>1</v>
      </c>
      <c r="H21" s="48" t="s">
        <v>46</v>
      </c>
      <c r="I21" s="47" t="s">
        <v>444</v>
      </c>
      <c r="J21" s="46">
        <f t="shared" si="2"/>
        <v>1700</v>
      </c>
      <c r="K21" s="45">
        <v>0</v>
      </c>
      <c r="L21" s="45">
        <v>200</v>
      </c>
      <c r="M21" s="45">
        <v>0</v>
      </c>
      <c r="N21" s="45">
        <v>0</v>
      </c>
      <c r="O21" s="45">
        <v>200</v>
      </c>
      <c r="P21" s="45">
        <v>0</v>
      </c>
      <c r="Q21" s="45">
        <v>500</v>
      </c>
      <c r="R21" s="45">
        <v>100</v>
      </c>
      <c r="S21" s="45">
        <v>500</v>
      </c>
      <c r="T21" s="45">
        <v>0</v>
      </c>
      <c r="U21" s="45">
        <v>0</v>
      </c>
      <c r="V21" s="45">
        <v>200</v>
      </c>
      <c r="W21" s="47"/>
      <c r="X21" s="47" t="s">
        <v>457</v>
      </c>
      <c r="Z21" s="5"/>
    </row>
    <row r="22" spans="1:26" x14ac:dyDescent="0.2">
      <c r="A22" s="8"/>
      <c r="C22" s="48">
        <v>1159</v>
      </c>
      <c r="D22" s="48" t="s">
        <v>14</v>
      </c>
      <c r="E22" s="48">
        <v>1150</v>
      </c>
      <c r="F22" s="48" t="s">
        <v>15</v>
      </c>
      <c r="G22" s="48" t="s">
        <v>1</v>
      </c>
      <c r="H22" s="48" t="s">
        <v>66</v>
      </c>
      <c r="I22" s="47" t="s">
        <v>65</v>
      </c>
      <c r="J22" s="46">
        <f t="shared" si="2"/>
        <v>70000</v>
      </c>
      <c r="K22" s="45">
        <v>5000</v>
      </c>
      <c r="L22" s="45">
        <v>10000</v>
      </c>
      <c r="M22" s="45">
        <v>5000</v>
      </c>
      <c r="N22" s="45">
        <v>5000</v>
      </c>
      <c r="O22" s="45">
        <v>5000</v>
      </c>
      <c r="P22" s="45">
        <v>10000</v>
      </c>
      <c r="Q22" s="45">
        <v>5000</v>
      </c>
      <c r="R22" s="45">
        <v>5000</v>
      </c>
      <c r="S22" s="45">
        <v>5000</v>
      </c>
      <c r="T22" s="45">
        <v>5000</v>
      </c>
      <c r="U22" s="45">
        <v>5000</v>
      </c>
      <c r="V22" s="45">
        <v>5000</v>
      </c>
      <c r="W22" s="47"/>
      <c r="X22" s="47" t="s">
        <v>456</v>
      </c>
      <c r="Z22" s="5"/>
    </row>
    <row r="23" spans="1:26" x14ac:dyDescent="0.2">
      <c r="A23" s="8"/>
      <c r="C23" s="48">
        <v>1159</v>
      </c>
      <c r="D23" s="48" t="s">
        <v>14</v>
      </c>
      <c r="E23" s="48">
        <v>1159</v>
      </c>
      <c r="F23" s="48" t="s">
        <v>14</v>
      </c>
      <c r="G23" s="48" t="s">
        <v>1</v>
      </c>
      <c r="H23" s="48" t="s">
        <v>132</v>
      </c>
      <c r="I23" s="47" t="s">
        <v>43</v>
      </c>
      <c r="J23" s="46">
        <f t="shared" si="2"/>
        <v>450</v>
      </c>
      <c r="K23" s="45">
        <v>37.5</v>
      </c>
      <c r="L23" s="45">
        <v>37.5</v>
      </c>
      <c r="M23" s="45">
        <v>37.5</v>
      </c>
      <c r="N23" s="45">
        <v>37.5</v>
      </c>
      <c r="O23" s="45">
        <v>37.5</v>
      </c>
      <c r="P23" s="45">
        <v>37.5</v>
      </c>
      <c r="Q23" s="45">
        <v>37.5</v>
      </c>
      <c r="R23" s="45">
        <v>37.5</v>
      </c>
      <c r="S23" s="45">
        <v>37.5</v>
      </c>
      <c r="T23" s="45">
        <v>37.5</v>
      </c>
      <c r="U23" s="45">
        <v>37.5</v>
      </c>
      <c r="V23" s="45">
        <v>37.5</v>
      </c>
      <c r="W23" s="47"/>
      <c r="X23" s="47" t="s">
        <v>443</v>
      </c>
      <c r="Z23" s="5"/>
    </row>
    <row r="24" spans="1:26" x14ac:dyDescent="0.2">
      <c r="A24" s="8"/>
      <c r="C24" s="48">
        <v>1159</v>
      </c>
      <c r="D24" s="48" t="s">
        <v>14</v>
      </c>
      <c r="E24" s="48">
        <v>1159</v>
      </c>
      <c r="F24" s="48" t="s">
        <v>14</v>
      </c>
      <c r="G24" s="48" t="s">
        <v>1</v>
      </c>
      <c r="H24" s="48" t="s">
        <v>50</v>
      </c>
      <c r="I24" s="47" t="s">
        <v>49</v>
      </c>
      <c r="J24" s="46">
        <f t="shared" si="2"/>
        <v>8722.774875000001</v>
      </c>
      <c r="K24" s="45">
        <v>550</v>
      </c>
      <c r="L24" s="45">
        <v>524.68212500000004</v>
      </c>
      <c r="M24" s="45">
        <v>1000</v>
      </c>
      <c r="N24" s="45">
        <v>524.68212500000004</v>
      </c>
      <c r="O24" s="45">
        <v>524.68212500000004</v>
      </c>
      <c r="P24" s="45">
        <v>1000</v>
      </c>
      <c r="Q24" s="45">
        <v>1500</v>
      </c>
      <c r="R24" s="45">
        <v>524.68212500000004</v>
      </c>
      <c r="S24" s="45">
        <v>1000</v>
      </c>
      <c r="T24" s="45">
        <v>524.68212500000004</v>
      </c>
      <c r="U24" s="45">
        <v>524.68212500000004</v>
      </c>
      <c r="V24" s="45">
        <v>524.68212500000004</v>
      </c>
      <c r="W24" s="47"/>
      <c r="X24" s="47"/>
      <c r="Z24" s="5"/>
    </row>
    <row r="25" spans="1:26" x14ac:dyDescent="0.2">
      <c r="A25" s="8"/>
      <c r="C25" s="48">
        <v>1159</v>
      </c>
      <c r="D25" s="48" t="s">
        <v>14</v>
      </c>
      <c r="E25" s="48">
        <v>1159</v>
      </c>
      <c r="F25" s="48" t="s">
        <v>14</v>
      </c>
      <c r="G25" s="48" t="s">
        <v>1</v>
      </c>
      <c r="H25" s="48" t="s">
        <v>66</v>
      </c>
      <c r="I25" s="47" t="s">
        <v>65</v>
      </c>
      <c r="J25" s="46">
        <f t="shared" si="2"/>
        <v>12114.375</v>
      </c>
      <c r="K25" s="45">
        <v>2000</v>
      </c>
      <c r="L25" s="45">
        <v>182.87500000000003</v>
      </c>
      <c r="M25" s="45">
        <v>1000</v>
      </c>
      <c r="N25" s="45">
        <v>2000</v>
      </c>
      <c r="O25" s="45">
        <v>182.87500000000003</v>
      </c>
      <c r="P25" s="45">
        <v>2000</v>
      </c>
      <c r="Q25" s="45">
        <v>182.87500000000003</v>
      </c>
      <c r="R25" s="45">
        <v>182.87500000000003</v>
      </c>
      <c r="S25" s="45">
        <v>2000</v>
      </c>
      <c r="T25" s="45">
        <v>182.87500000000003</v>
      </c>
      <c r="U25" s="45">
        <v>2000</v>
      </c>
      <c r="V25" s="45">
        <v>200</v>
      </c>
      <c r="W25" s="47"/>
      <c r="X25" s="47" t="s">
        <v>455</v>
      </c>
      <c r="Z25" s="5"/>
    </row>
    <row r="26" spans="1:26" x14ac:dyDescent="0.2">
      <c r="A26" s="8"/>
      <c r="C26" s="48">
        <v>1159</v>
      </c>
      <c r="D26" s="48" t="s">
        <v>14</v>
      </c>
      <c r="E26" s="48">
        <v>1159</v>
      </c>
      <c r="F26" s="48" t="s">
        <v>14</v>
      </c>
      <c r="G26" s="48" t="s">
        <v>1</v>
      </c>
      <c r="H26" s="48" t="s">
        <v>57</v>
      </c>
      <c r="I26" s="47" t="s">
        <v>60</v>
      </c>
      <c r="J26" s="46">
        <f t="shared" si="2"/>
        <v>28827.859500000002</v>
      </c>
      <c r="K26" s="45">
        <v>2402.321625</v>
      </c>
      <c r="L26" s="45">
        <v>2402.321625</v>
      </c>
      <c r="M26" s="45">
        <v>2402.321625</v>
      </c>
      <c r="N26" s="45">
        <v>2402.321625</v>
      </c>
      <c r="O26" s="45">
        <v>2402.321625</v>
      </c>
      <c r="P26" s="45">
        <v>2402.321625</v>
      </c>
      <c r="Q26" s="45">
        <v>2402.321625</v>
      </c>
      <c r="R26" s="45">
        <v>2402.321625</v>
      </c>
      <c r="S26" s="45">
        <v>2402.321625</v>
      </c>
      <c r="T26" s="45">
        <v>2402.321625</v>
      </c>
      <c r="U26" s="45">
        <v>2402.321625</v>
      </c>
      <c r="V26" s="45">
        <v>2402.321625</v>
      </c>
      <c r="W26" s="47"/>
      <c r="X26" s="47"/>
      <c r="Z26" s="5"/>
    </row>
    <row r="27" spans="1:26" x14ac:dyDescent="0.2">
      <c r="A27" s="8"/>
      <c r="C27" s="48">
        <v>1159</v>
      </c>
      <c r="D27" s="48" t="s">
        <v>14</v>
      </c>
      <c r="E27" s="48">
        <v>1159</v>
      </c>
      <c r="F27" s="48" t="s">
        <v>14</v>
      </c>
      <c r="G27" s="48" t="s">
        <v>1</v>
      </c>
      <c r="H27" s="48" t="s">
        <v>57</v>
      </c>
      <c r="I27" s="47" t="s">
        <v>59</v>
      </c>
      <c r="J27" s="46">
        <f t="shared" si="2"/>
        <v>79517.376000000004</v>
      </c>
      <c r="K27" s="45">
        <v>6544.64</v>
      </c>
      <c r="L27" s="45">
        <v>6544.64</v>
      </c>
      <c r="M27" s="45">
        <v>6544.64</v>
      </c>
      <c r="N27" s="45">
        <v>6544.64</v>
      </c>
      <c r="O27" s="45">
        <v>6544.64</v>
      </c>
      <c r="P27" s="45">
        <v>6544.64</v>
      </c>
      <c r="Q27" s="45">
        <v>6544.64</v>
      </c>
      <c r="R27" s="45">
        <v>6544.64</v>
      </c>
      <c r="S27" s="45">
        <v>6544.64</v>
      </c>
      <c r="T27" s="45">
        <v>6871.8720000000003</v>
      </c>
      <c r="U27" s="45">
        <v>6871.8720000000003</v>
      </c>
      <c r="V27" s="45">
        <v>6871.8720000000003</v>
      </c>
      <c r="W27" s="47"/>
      <c r="X27" s="47" t="s">
        <v>454</v>
      </c>
      <c r="Z27" s="5"/>
    </row>
    <row r="28" spans="1:26" x14ac:dyDescent="0.2">
      <c r="A28" s="8"/>
      <c r="C28" s="48">
        <v>1159</v>
      </c>
      <c r="D28" s="48" t="s">
        <v>14</v>
      </c>
      <c r="E28" s="48">
        <v>1159</v>
      </c>
      <c r="F28" s="48" t="s">
        <v>14</v>
      </c>
      <c r="G28" s="48" t="s">
        <v>1</v>
      </c>
      <c r="H28" s="48" t="s">
        <v>57</v>
      </c>
      <c r="I28" s="47" t="s">
        <v>453</v>
      </c>
      <c r="J28" s="46">
        <f t="shared" si="2"/>
        <v>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7"/>
      <c r="X28" s="47"/>
      <c r="Z28" s="5"/>
    </row>
    <row r="29" spans="1:26" x14ac:dyDescent="0.2">
      <c r="A29" s="8"/>
      <c r="C29" s="48">
        <v>1159</v>
      </c>
      <c r="D29" s="48" t="s">
        <v>14</v>
      </c>
      <c r="E29" s="48">
        <v>1159</v>
      </c>
      <c r="F29" s="48" t="s">
        <v>14</v>
      </c>
      <c r="G29" s="48" t="s">
        <v>1</v>
      </c>
      <c r="H29" s="48" t="s">
        <v>41</v>
      </c>
      <c r="I29" s="47" t="s">
        <v>55</v>
      </c>
      <c r="J29" s="46">
        <f t="shared" si="2"/>
        <v>60753.023125</v>
      </c>
      <c r="K29" s="45">
        <v>4940.6046249999999</v>
      </c>
      <c r="L29" s="45">
        <v>6000</v>
      </c>
      <c r="M29" s="45">
        <v>6000</v>
      </c>
      <c r="N29" s="45">
        <v>4940.6046249999999</v>
      </c>
      <c r="O29" s="45">
        <v>4940.6046249999999</v>
      </c>
      <c r="P29" s="45">
        <v>5500</v>
      </c>
      <c r="Q29" s="45">
        <v>6000</v>
      </c>
      <c r="R29" s="45">
        <v>550</v>
      </c>
      <c r="S29" s="45">
        <v>4940.6046249999999</v>
      </c>
      <c r="T29" s="45">
        <v>6000</v>
      </c>
      <c r="U29" s="45">
        <v>6000</v>
      </c>
      <c r="V29" s="45">
        <v>4940.6046249999999</v>
      </c>
      <c r="W29" s="47"/>
      <c r="X29" s="47"/>
      <c r="Z29" s="5"/>
    </row>
    <row r="30" spans="1:26" x14ac:dyDescent="0.2">
      <c r="A30" s="8"/>
      <c r="C30" s="48">
        <v>1159</v>
      </c>
      <c r="D30" s="48" t="s">
        <v>14</v>
      </c>
      <c r="E30" s="48">
        <v>1159</v>
      </c>
      <c r="F30" s="48" t="s">
        <v>14</v>
      </c>
      <c r="G30" s="48" t="s">
        <v>1</v>
      </c>
      <c r="H30" s="48" t="s">
        <v>41</v>
      </c>
      <c r="I30" s="47" t="s">
        <v>138</v>
      </c>
      <c r="J30" s="46">
        <f t="shared" si="2"/>
        <v>67881.734499999991</v>
      </c>
      <c r="K30" s="45">
        <v>6000</v>
      </c>
      <c r="L30" s="45">
        <v>6000</v>
      </c>
      <c r="M30" s="45">
        <v>5500</v>
      </c>
      <c r="N30" s="45">
        <v>6000</v>
      </c>
      <c r="O30" s="45">
        <v>4381.7345000000005</v>
      </c>
      <c r="P30" s="45">
        <v>5500</v>
      </c>
      <c r="Q30" s="45">
        <v>6000</v>
      </c>
      <c r="R30" s="45">
        <v>5500</v>
      </c>
      <c r="S30" s="45">
        <v>6000</v>
      </c>
      <c r="T30" s="45">
        <v>5500</v>
      </c>
      <c r="U30" s="45">
        <v>5500</v>
      </c>
      <c r="V30" s="45">
        <v>6000</v>
      </c>
      <c r="W30" s="47"/>
      <c r="X30" s="47"/>
      <c r="Z30" s="5"/>
    </row>
    <row r="31" spans="1:26" x14ac:dyDescent="0.2">
      <c r="A31" s="8"/>
      <c r="C31" s="48">
        <v>1159</v>
      </c>
      <c r="D31" s="48" t="s">
        <v>14</v>
      </c>
      <c r="E31" s="48">
        <v>1159</v>
      </c>
      <c r="F31" s="48" t="s">
        <v>14</v>
      </c>
      <c r="G31" s="48" t="s">
        <v>1</v>
      </c>
      <c r="H31" s="48" t="s">
        <v>57</v>
      </c>
      <c r="I31" s="47" t="s">
        <v>56</v>
      </c>
      <c r="J31" s="46">
        <f t="shared" si="2"/>
        <v>11242.659500000003</v>
      </c>
      <c r="K31" s="45">
        <v>891.80850000000021</v>
      </c>
      <c r="L31" s="45">
        <v>891.80850000000021</v>
      </c>
      <c r="M31" s="45">
        <v>891.80850000000021</v>
      </c>
      <c r="N31" s="45">
        <v>1000</v>
      </c>
      <c r="O31" s="45">
        <v>891.80850000000021</v>
      </c>
      <c r="P31" s="45">
        <v>1000</v>
      </c>
      <c r="Q31" s="45">
        <v>891.80850000000021</v>
      </c>
      <c r="R31" s="45">
        <v>1000</v>
      </c>
      <c r="S31" s="45">
        <v>891.80850000000021</v>
      </c>
      <c r="T31" s="45">
        <v>1000</v>
      </c>
      <c r="U31" s="45">
        <v>1000</v>
      </c>
      <c r="V31" s="45">
        <v>891.80850000000021</v>
      </c>
      <c r="W31" s="47"/>
      <c r="X31" s="47"/>
      <c r="Z31" s="5"/>
    </row>
    <row r="32" spans="1:26" x14ac:dyDescent="0.2">
      <c r="A32" s="8"/>
      <c r="C32" s="48">
        <v>1159</v>
      </c>
      <c r="D32" s="48" t="s">
        <v>14</v>
      </c>
      <c r="E32" s="48">
        <v>1159</v>
      </c>
      <c r="F32" s="48" t="s">
        <v>14</v>
      </c>
      <c r="G32" s="48" t="s">
        <v>1</v>
      </c>
      <c r="H32" s="48" t="s">
        <v>41</v>
      </c>
      <c r="I32" s="47" t="s">
        <v>52</v>
      </c>
      <c r="J32" s="46">
        <f t="shared" si="2"/>
        <v>10080.67175</v>
      </c>
      <c r="K32" s="45">
        <v>725.81024999999988</v>
      </c>
      <c r="L32" s="45">
        <v>1000</v>
      </c>
      <c r="M32" s="45">
        <v>1000</v>
      </c>
      <c r="N32" s="45">
        <v>725.81024999999988</v>
      </c>
      <c r="O32" s="45">
        <v>725.81024999999988</v>
      </c>
      <c r="P32" s="45">
        <v>1000</v>
      </c>
      <c r="Q32" s="45">
        <v>1000</v>
      </c>
      <c r="R32" s="45">
        <v>725.81024999999988</v>
      </c>
      <c r="S32" s="45">
        <v>1000</v>
      </c>
      <c r="T32" s="45">
        <v>725.81024999999988</v>
      </c>
      <c r="U32" s="45">
        <v>725.81024999999988</v>
      </c>
      <c r="V32" s="45">
        <v>725.81024999999988</v>
      </c>
      <c r="W32" s="47"/>
      <c r="X32" s="47"/>
      <c r="Z32" s="5"/>
    </row>
    <row r="33" spans="1:26" x14ac:dyDescent="0.2">
      <c r="A33" s="8"/>
      <c r="C33" s="48">
        <v>1159</v>
      </c>
      <c r="D33" s="48" t="s">
        <v>14</v>
      </c>
      <c r="E33" s="48">
        <v>1159</v>
      </c>
      <c r="F33" s="48" t="s">
        <v>14</v>
      </c>
      <c r="G33" s="48" t="s">
        <v>1</v>
      </c>
      <c r="H33" s="48" t="s">
        <v>41</v>
      </c>
      <c r="I33" s="47" t="s">
        <v>40</v>
      </c>
      <c r="J33" s="46">
        <f t="shared" si="2"/>
        <v>7200</v>
      </c>
      <c r="K33" s="45">
        <v>600</v>
      </c>
      <c r="L33" s="45">
        <v>600</v>
      </c>
      <c r="M33" s="45">
        <v>600</v>
      </c>
      <c r="N33" s="45">
        <v>600</v>
      </c>
      <c r="O33" s="45">
        <v>600</v>
      </c>
      <c r="P33" s="45">
        <v>600</v>
      </c>
      <c r="Q33" s="45">
        <v>600</v>
      </c>
      <c r="R33" s="45">
        <v>600</v>
      </c>
      <c r="S33" s="45">
        <v>600</v>
      </c>
      <c r="T33" s="45">
        <v>600</v>
      </c>
      <c r="U33" s="45">
        <v>600</v>
      </c>
      <c r="V33" s="45">
        <v>600</v>
      </c>
      <c r="W33" s="47"/>
      <c r="X33" s="47"/>
      <c r="Z33" s="5"/>
    </row>
    <row r="34" spans="1:26" x14ac:dyDescent="0.2">
      <c r="A34" s="8"/>
      <c r="C34" s="48">
        <v>1159</v>
      </c>
      <c r="D34" s="48" t="s">
        <v>14</v>
      </c>
      <c r="E34" s="48">
        <v>1160</v>
      </c>
      <c r="F34" s="48" t="s">
        <v>13</v>
      </c>
      <c r="G34" s="48" t="s">
        <v>1</v>
      </c>
      <c r="H34" s="48" t="s">
        <v>132</v>
      </c>
      <c r="I34" s="47" t="s">
        <v>43</v>
      </c>
      <c r="J34" s="46">
        <f t="shared" si="2"/>
        <v>1650</v>
      </c>
      <c r="K34" s="45">
        <v>137.5</v>
      </c>
      <c r="L34" s="45">
        <v>137.5</v>
      </c>
      <c r="M34" s="45">
        <v>137.5</v>
      </c>
      <c r="N34" s="45">
        <v>137.5</v>
      </c>
      <c r="O34" s="45">
        <v>137.5</v>
      </c>
      <c r="P34" s="45">
        <v>137.5</v>
      </c>
      <c r="Q34" s="45">
        <v>137.5</v>
      </c>
      <c r="R34" s="45">
        <v>137.5</v>
      </c>
      <c r="S34" s="45">
        <v>137.5</v>
      </c>
      <c r="T34" s="45">
        <v>137.5</v>
      </c>
      <c r="U34" s="45">
        <v>137.5</v>
      </c>
      <c r="V34" s="45">
        <v>137.5</v>
      </c>
      <c r="W34" s="47"/>
      <c r="X34" s="47" t="s">
        <v>446</v>
      </c>
      <c r="Z34" s="5"/>
    </row>
    <row r="35" spans="1:26" x14ac:dyDescent="0.2">
      <c r="A35" s="8"/>
      <c r="C35" s="48">
        <v>1159</v>
      </c>
      <c r="D35" s="48" t="s">
        <v>14</v>
      </c>
      <c r="E35" s="48">
        <v>1160</v>
      </c>
      <c r="F35" s="48" t="s">
        <v>13</v>
      </c>
      <c r="G35" s="48" t="s">
        <v>1</v>
      </c>
      <c r="H35" s="48" t="s">
        <v>0</v>
      </c>
      <c r="I35" s="47" t="s">
        <v>51</v>
      </c>
      <c r="J35" s="46">
        <f t="shared" si="2"/>
        <v>190000</v>
      </c>
      <c r="K35" s="45">
        <v>25000</v>
      </c>
      <c r="L35" s="45">
        <v>25000</v>
      </c>
      <c r="M35" s="45">
        <v>25000</v>
      </c>
      <c r="N35" s="45">
        <v>30000</v>
      </c>
      <c r="O35" s="45">
        <v>25000</v>
      </c>
      <c r="P35" s="45">
        <v>15000</v>
      </c>
      <c r="Q35" s="45">
        <v>10000</v>
      </c>
      <c r="R35" s="45">
        <v>10000</v>
      </c>
      <c r="S35" s="45">
        <v>5000</v>
      </c>
      <c r="T35" s="45">
        <v>10000</v>
      </c>
      <c r="U35" s="45">
        <v>5000</v>
      </c>
      <c r="V35" s="45">
        <v>5000</v>
      </c>
      <c r="W35" s="47"/>
      <c r="X35" s="47" t="s">
        <v>452</v>
      </c>
      <c r="Z35" s="5"/>
    </row>
    <row r="36" spans="1:26" x14ac:dyDescent="0.2">
      <c r="A36" s="8"/>
      <c r="C36" s="48">
        <v>1159</v>
      </c>
      <c r="D36" s="48" t="s">
        <v>14</v>
      </c>
      <c r="E36" s="48">
        <v>1160</v>
      </c>
      <c r="F36" s="48" t="s">
        <v>13</v>
      </c>
      <c r="G36" s="48" t="s">
        <v>1</v>
      </c>
      <c r="H36" s="48" t="s">
        <v>66</v>
      </c>
      <c r="I36" s="47" t="s">
        <v>68</v>
      </c>
      <c r="J36" s="46">
        <f t="shared" si="2"/>
        <v>120000</v>
      </c>
      <c r="K36" s="45">
        <v>10000</v>
      </c>
      <c r="L36" s="45">
        <v>10000</v>
      </c>
      <c r="M36" s="45">
        <v>10000</v>
      </c>
      <c r="N36" s="45">
        <v>10000</v>
      </c>
      <c r="O36" s="45">
        <v>10000</v>
      </c>
      <c r="P36" s="45">
        <v>10000</v>
      </c>
      <c r="Q36" s="45">
        <v>10000</v>
      </c>
      <c r="R36" s="45">
        <v>10000</v>
      </c>
      <c r="S36" s="45">
        <v>10000</v>
      </c>
      <c r="T36" s="45">
        <v>10000</v>
      </c>
      <c r="U36" s="45">
        <v>10000</v>
      </c>
      <c r="V36" s="45">
        <v>10000</v>
      </c>
      <c r="W36" s="47"/>
      <c r="X36" s="47" t="s">
        <v>451</v>
      </c>
      <c r="Z36" s="5"/>
    </row>
    <row r="37" spans="1:26" x14ac:dyDescent="0.2">
      <c r="A37" s="8"/>
      <c r="C37" s="48">
        <v>1159</v>
      </c>
      <c r="D37" s="48" t="s">
        <v>14</v>
      </c>
      <c r="E37" s="48">
        <v>1160</v>
      </c>
      <c r="F37" s="48" t="s">
        <v>13</v>
      </c>
      <c r="G37" s="48" t="s">
        <v>1</v>
      </c>
      <c r="H37" s="48" t="s">
        <v>66</v>
      </c>
      <c r="I37" s="47" t="s">
        <v>67</v>
      </c>
      <c r="J37" s="46">
        <f t="shared" si="2"/>
        <v>84000</v>
      </c>
      <c r="K37" s="45">
        <v>7000</v>
      </c>
      <c r="L37" s="45">
        <v>7000</v>
      </c>
      <c r="M37" s="45">
        <v>7000</v>
      </c>
      <c r="N37" s="45">
        <v>7000</v>
      </c>
      <c r="O37" s="45">
        <v>7000</v>
      </c>
      <c r="P37" s="45">
        <v>7000</v>
      </c>
      <c r="Q37" s="45">
        <v>7000</v>
      </c>
      <c r="R37" s="45">
        <v>7000</v>
      </c>
      <c r="S37" s="45">
        <v>7000</v>
      </c>
      <c r="T37" s="45">
        <v>7000</v>
      </c>
      <c r="U37" s="45">
        <v>7000</v>
      </c>
      <c r="V37" s="45">
        <v>7000</v>
      </c>
      <c r="W37" s="47"/>
      <c r="X37" s="47" t="s">
        <v>450</v>
      </c>
      <c r="Z37" s="5"/>
    </row>
    <row r="38" spans="1:26" x14ac:dyDescent="0.2">
      <c r="A38" s="8"/>
      <c r="C38" s="48">
        <v>1159</v>
      </c>
      <c r="D38" s="48" t="s">
        <v>14</v>
      </c>
      <c r="E38" s="48">
        <v>1160</v>
      </c>
      <c r="F38" s="48" t="s">
        <v>13</v>
      </c>
      <c r="G38" s="48" t="s">
        <v>1</v>
      </c>
      <c r="H38" s="48" t="s">
        <v>66</v>
      </c>
      <c r="I38" s="47" t="s">
        <v>65</v>
      </c>
      <c r="J38" s="46">
        <f t="shared" si="2"/>
        <v>60000</v>
      </c>
      <c r="K38" s="45">
        <v>5000</v>
      </c>
      <c r="L38" s="45">
        <v>5000</v>
      </c>
      <c r="M38" s="45">
        <v>5000</v>
      </c>
      <c r="N38" s="45">
        <v>5000</v>
      </c>
      <c r="O38" s="45">
        <v>5000</v>
      </c>
      <c r="P38" s="45">
        <v>5000</v>
      </c>
      <c r="Q38" s="45">
        <v>5000</v>
      </c>
      <c r="R38" s="45">
        <v>5000</v>
      </c>
      <c r="S38" s="45">
        <v>5000</v>
      </c>
      <c r="T38" s="45">
        <v>5000</v>
      </c>
      <c r="U38" s="45">
        <v>5000</v>
      </c>
      <c r="V38" s="45">
        <v>5000</v>
      </c>
      <c r="W38" s="47"/>
      <c r="X38" s="47" t="s">
        <v>449</v>
      </c>
      <c r="Z38" s="5"/>
    </row>
    <row r="39" spans="1:26" x14ac:dyDescent="0.2">
      <c r="A39" s="8"/>
      <c r="C39" s="48">
        <v>1159</v>
      </c>
      <c r="D39" s="48" t="s">
        <v>14</v>
      </c>
      <c r="E39" s="48">
        <v>1160</v>
      </c>
      <c r="F39" s="48" t="s">
        <v>13</v>
      </c>
      <c r="G39" s="48" t="s">
        <v>1</v>
      </c>
      <c r="H39" s="48" t="s">
        <v>46</v>
      </c>
      <c r="I39" s="47" t="s">
        <v>48</v>
      </c>
      <c r="J39" s="46">
        <f t="shared" si="2"/>
        <v>252000</v>
      </c>
      <c r="K39" s="45">
        <v>21000</v>
      </c>
      <c r="L39" s="45">
        <v>21000</v>
      </c>
      <c r="M39" s="45">
        <v>21000</v>
      </c>
      <c r="N39" s="45">
        <v>21000</v>
      </c>
      <c r="O39" s="45">
        <v>21000</v>
      </c>
      <c r="P39" s="45">
        <v>21000</v>
      </c>
      <c r="Q39" s="45">
        <v>21000</v>
      </c>
      <c r="R39" s="45">
        <v>21000</v>
      </c>
      <c r="S39" s="45">
        <v>21000</v>
      </c>
      <c r="T39" s="45">
        <v>21000</v>
      </c>
      <c r="U39" s="45">
        <v>21000</v>
      </c>
      <c r="V39" s="45">
        <v>21000</v>
      </c>
      <c r="W39" s="47"/>
      <c r="X39" s="47" t="s">
        <v>448</v>
      </c>
      <c r="Z39" s="5"/>
    </row>
    <row r="40" spans="1:26" x14ac:dyDescent="0.2">
      <c r="A40" s="8"/>
      <c r="C40" s="48">
        <v>1159</v>
      </c>
      <c r="D40" s="48" t="s">
        <v>14</v>
      </c>
      <c r="E40" s="48">
        <v>1160</v>
      </c>
      <c r="F40" s="48" t="s">
        <v>13</v>
      </c>
      <c r="G40" s="48" t="s">
        <v>1</v>
      </c>
      <c r="H40" s="48" t="s">
        <v>41</v>
      </c>
      <c r="I40" s="47" t="s">
        <v>40</v>
      </c>
      <c r="J40" s="46">
        <f t="shared" si="2"/>
        <v>3600</v>
      </c>
      <c r="K40" s="45">
        <v>300</v>
      </c>
      <c r="L40" s="45">
        <v>300</v>
      </c>
      <c r="M40" s="45">
        <v>300</v>
      </c>
      <c r="N40" s="45">
        <v>300</v>
      </c>
      <c r="O40" s="45">
        <v>300</v>
      </c>
      <c r="P40" s="45">
        <v>300</v>
      </c>
      <c r="Q40" s="45">
        <v>300</v>
      </c>
      <c r="R40" s="45">
        <v>300</v>
      </c>
      <c r="S40" s="45">
        <v>300</v>
      </c>
      <c r="T40" s="45">
        <v>300</v>
      </c>
      <c r="U40" s="45">
        <v>300</v>
      </c>
      <c r="V40" s="45">
        <v>300</v>
      </c>
      <c r="W40" s="47"/>
      <c r="X40" s="47"/>
      <c r="Z40" s="5"/>
    </row>
    <row r="41" spans="1:26" x14ac:dyDescent="0.2">
      <c r="A41" s="8"/>
      <c r="C41" s="48">
        <v>1159</v>
      </c>
      <c r="D41" s="48" t="s">
        <v>14</v>
      </c>
      <c r="E41" s="48">
        <v>1150</v>
      </c>
      <c r="F41" s="48" t="s">
        <v>15</v>
      </c>
      <c r="G41" s="48" t="s">
        <v>1</v>
      </c>
      <c r="H41" s="48" t="s">
        <v>3</v>
      </c>
      <c r="I41" s="47" t="s">
        <v>39</v>
      </c>
      <c r="J41" s="46">
        <f t="shared" ref="J41:J76" si="3">SUM(K41+L41+M41+N41+O41+P41+Q41+R41+S41+T41+U41+V41)</f>
        <v>27620.564933360001</v>
      </c>
      <c r="K41" s="45">
        <v>2065.9478260000001</v>
      </c>
      <c r="L41" s="45">
        <v>2065.9478260000001</v>
      </c>
      <c r="M41" s="45">
        <v>2065.9478260000001</v>
      </c>
      <c r="N41" s="45">
        <v>2065.9478260000001</v>
      </c>
      <c r="O41" s="45">
        <v>2331.6792036699999</v>
      </c>
      <c r="P41" s="45">
        <v>2331.6792036699999</v>
      </c>
      <c r="Q41" s="45">
        <v>2395.6192036699999</v>
      </c>
      <c r="R41" s="45">
        <v>2459.55920367</v>
      </c>
      <c r="S41" s="45">
        <v>2459.55920367</v>
      </c>
      <c r="T41" s="45">
        <v>2459.55920367</v>
      </c>
      <c r="U41" s="45">
        <v>2459.55920367</v>
      </c>
      <c r="V41" s="45">
        <v>2459.55920367</v>
      </c>
      <c r="W41" s="47"/>
      <c r="X41" s="47"/>
      <c r="Z41" s="5"/>
    </row>
    <row r="42" spans="1:26" x14ac:dyDescent="0.2">
      <c r="A42" s="8"/>
      <c r="C42" s="48">
        <v>1159</v>
      </c>
      <c r="D42" s="48" t="s">
        <v>14</v>
      </c>
      <c r="E42" s="48">
        <v>1150</v>
      </c>
      <c r="F42" s="48" t="s">
        <v>15</v>
      </c>
      <c r="G42" s="48" t="s">
        <v>1</v>
      </c>
      <c r="H42" s="48" t="s">
        <v>3</v>
      </c>
      <c r="I42" s="47" t="s">
        <v>32</v>
      </c>
      <c r="J42" s="46">
        <f t="shared" si="3"/>
        <v>82762.340249959991</v>
      </c>
      <c r="K42" s="45">
        <v>6190.4120109999985</v>
      </c>
      <c r="L42" s="45">
        <v>6190.4120109999985</v>
      </c>
      <c r="M42" s="45">
        <v>6190.4120109999985</v>
      </c>
      <c r="N42" s="45">
        <v>6190.4120109999985</v>
      </c>
      <c r="O42" s="45">
        <v>6986.6502757449989</v>
      </c>
      <c r="P42" s="45">
        <v>6986.6502757449989</v>
      </c>
      <c r="Q42" s="45">
        <v>7178.2402757449991</v>
      </c>
      <c r="R42" s="45">
        <v>7369.8302757449992</v>
      </c>
      <c r="S42" s="45">
        <v>7369.8302757449992</v>
      </c>
      <c r="T42" s="45">
        <v>7369.8302757449992</v>
      </c>
      <c r="U42" s="45">
        <v>7369.8302757449992</v>
      </c>
      <c r="V42" s="45">
        <v>7369.8302757449992</v>
      </c>
      <c r="W42" s="47"/>
      <c r="X42" s="47"/>
      <c r="Z42" s="5"/>
    </row>
    <row r="43" spans="1:26" x14ac:dyDescent="0.2">
      <c r="A43" s="8"/>
      <c r="C43" s="48">
        <v>1159</v>
      </c>
      <c r="D43" s="48" t="s">
        <v>14</v>
      </c>
      <c r="E43" s="48">
        <v>1150</v>
      </c>
      <c r="F43" s="48" t="s">
        <v>15</v>
      </c>
      <c r="G43" s="48" t="s">
        <v>1</v>
      </c>
      <c r="H43" s="48" t="s">
        <v>3</v>
      </c>
      <c r="I43" s="47" t="s">
        <v>42</v>
      </c>
      <c r="J43" s="46">
        <f t="shared" si="3"/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7"/>
      <c r="X43" s="47"/>
      <c r="Z43" s="5"/>
    </row>
    <row r="44" spans="1:26" x14ac:dyDescent="0.2">
      <c r="A44" s="8"/>
      <c r="C44" s="48">
        <v>1159</v>
      </c>
      <c r="D44" s="48" t="s">
        <v>14</v>
      </c>
      <c r="E44" s="48">
        <v>1150</v>
      </c>
      <c r="F44" s="48" t="s">
        <v>15</v>
      </c>
      <c r="G44" s="48" t="s">
        <v>1</v>
      </c>
      <c r="H44" s="48" t="s">
        <v>3</v>
      </c>
      <c r="I44" s="47" t="s">
        <v>442</v>
      </c>
      <c r="J44" s="46">
        <f t="shared" si="3"/>
        <v>131694.03200000001</v>
      </c>
      <c r="K44" s="45">
        <v>9380.2799999999988</v>
      </c>
      <c r="L44" s="45">
        <v>9380.2799999999988</v>
      </c>
      <c r="M44" s="45">
        <v>9380.2799999999988</v>
      </c>
      <c r="N44" s="45">
        <v>9380.2799999999988</v>
      </c>
      <c r="O44" s="45">
        <v>10035.439999999999</v>
      </c>
      <c r="P44" s="45">
        <v>10887.148000000001</v>
      </c>
      <c r="Q44" s="45">
        <v>11607.824000000001</v>
      </c>
      <c r="R44" s="45">
        <v>12328.5</v>
      </c>
      <c r="S44" s="45">
        <v>12328.5</v>
      </c>
      <c r="T44" s="45">
        <v>12328.5</v>
      </c>
      <c r="U44" s="45">
        <v>12328.5</v>
      </c>
      <c r="V44" s="45">
        <v>12328.5</v>
      </c>
      <c r="W44" s="47"/>
      <c r="X44" s="47"/>
      <c r="Z44" s="5"/>
    </row>
    <row r="45" spans="1:26" x14ac:dyDescent="0.2">
      <c r="A45" s="8"/>
      <c r="C45" s="48">
        <v>1159</v>
      </c>
      <c r="D45" s="48" t="s">
        <v>14</v>
      </c>
      <c r="E45" s="48">
        <v>1150</v>
      </c>
      <c r="F45" s="48" t="s">
        <v>15</v>
      </c>
      <c r="G45" s="48" t="s">
        <v>1</v>
      </c>
      <c r="H45" s="48" t="s">
        <v>3</v>
      </c>
      <c r="I45" s="47" t="s">
        <v>30</v>
      </c>
      <c r="J45" s="46">
        <f t="shared" si="3"/>
        <v>5367.9599999999991</v>
      </c>
      <c r="K45" s="45">
        <v>375.18000000000006</v>
      </c>
      <c r="L45" s="45">
        <v>375.18000000000006</v>
      </c>
      <c r="M45" s="45">
        <v>375.18000000000006</v>
      </c>
      <c r="N45" s="45">
        <v>375.18000000000006</v>
      </c>
      <c r="O45" s="45">
        <v>406.9260000000001</v>
      </c>
      <c r="P45" s="45">
        <v>444.4439999999999</v>
      </c>
      <c r="Q45" s="45">
        <v>476.18999999999988</v>
      </c>
      <c r="R45" s="45">
        <v>507.93599999999986</v>
      </c>
      <c r="S45" s="45">
        <v>507.93599999999986</v>
      </c>
      <c r="T45" s="45">
        <v>507.93599999999986</v>
      </c>
      <c r="U45" s="45">
        <v>507.93599999999986</v>
      </c>
      <c r="V45" s="45">
        <v>507.93599999999986</v>
      </c>
      <c r="W45" s="47"/>
      <c r="X45" s="47"/>
      <c r="Z45" s="5"/>
    </row>
    <row r="46" spans="1:26" x14ac:dyDescent="0.2">
      <c r="A46" s="8"/>
      <c r="C46" s="48">
        <v>1159</v>
      </c>
      <c r="D46" s="48" t="s">
        <v>14</v>
      </c>
      <c r="E46" s="48">
        <v>1150</v>
      </c>
      <c r="F46" s="48" t="s">
        <v>15</v>
      </c>
      <c r="G46" s="48" t="s">
        <v>1</v>
      </c>
      <c r="H46" s="48" t="s">
        <v>3</v>
      </c>
      <c r="I46" s="47" t="s">
        <v>29</v>
      </c>
      <c r="J46" s="46">
        <f t="shared" si="3"/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7"/>
      <c r="X46" s="47"/>
      <c r="Z46" s="5"/>
    </row>
    <row r="47" spans="1:26" x14ac:dyDescent="0.2">
      <c r="A47" s="8"/>
      <c r="C47" s="48">
        <v>1159</v>
      </c>
      <c r="D47" s="48" t="s">
        <v>14</v>
      </c>
      <c r="E47" s="48">
        <v>1150</v>
      </c>
      <c r="F47" s="48" t="s">
        <v>15</v>
      </c>
      <c r="G47" s="48" t="s">
        <v>1</v>
      </c>
      <c r="H47" s="48" t="s">
        <v>3</v>
      </c>
      <c r="I47" s="47" t="s">
        <v>28</v>
      </c>
      <c r="J47" s="46">
        <f t="shared" si="3"/>
        <v>146603.30403333335</v>
      </c>
      <c r="K47" s="45">
        <v>0</v>
      </c>
      <c r="L47" s="45">
        <v>0</v>
      </c>
      <c r="M47" s="45">
        <v>0</v>
      </c>
      <c r="N47" s="45">
        <v>15121.663411111111</v>
      </c>
      <c r="O47" s="45">
        <v>16171.663411111111</v>
      </c>
      <c r="P47" s="45">
        <v>16171.663411111111</v>
      </c>
      <c r="Q47" s="45">
        <v>16363.330077777777</v>
      </c>
      <c r="R47" s="45">
        <v>16554.996744444445</v>
      </c>
      <c r="S47" s="45">
        <v>16554.996744444445</v>
      </c>
      <c r="T47" s="45">
        <v>16554.996744444445</v>
      </c>
      <c r="U47" s="45">
        <v>16554.996744444445</v>
      </c>
      <c r="V47" s="45">
        <v>16554.996744444445</v>
      </c>
      <c r="W47" s="47"/>
      <c r="X47" s="47"/>
      <c r="Z47" s="5"/>
    </row>
    <row r="48" spans="1:26" x14ac:dyDescent="0.2">
      <c r="A48" s="8"/>
      <c r="C48" s="48">
        <v>1159</v>
      </c>
      <c r="D48" s="48" t="s">
        <v>14</v>
      </c>
      <c r="E48" s="48">
        <v>1150</v>
      </c>
      <c r="F48" s="48" t="s">
        <v>15</v>
      </c>
      <c r="G48" s="48" t="s">
        <v>1</v>
      </c>
      <c r="H48" s="48" t="s">
        <v>3</v>
      </c>
      <c r="I48" s="47" t="s">
        <v>27</v>
      </c>
      <c r="J48" s="46">
        <f t="shared" si="3"/>
        <v>79483.640096000003</v>
      </c>
      <c r="K48" s="45">
        <v>5945.1736000000001</v>
      </c>
      <c r="L48" s="45">
        <v>5945.1736000000001</v>
      </c>
      <c r="M48" s="45">
        <v>5945.1736000000001</v>
      </c>
      <c r="N48" s="45">
        <v>5945.1736000000001</v>
      </c>
      <c r="O48" s="45">
        <v>6709.8682119999994</v>
      </c>
      <c r="P48" s="45">
        <v>6709.8682119999994</v>
      </c>
      <c r="Q48" s="45">
        <v>6893.8682119999994</v>
      </c>
      <c r="R48" s="45">
        <v>7077.8682119999994</v>
      </c>
      <c r="S48" s="45">
        <v>7077.8682119999994</v>
      </c>
      <c r="T48" s="45">
        <v>7077.8682119999994</v>
      </c>
      <c r="U48" s="45">
        <v>7077.8682119999994</v>
      </c>
      <c r="V48" s="45">
        <v>7077.8682119999994</v>
      </c>
      <c r="W48" s="47"/>
      <c r="X48" s="47"/>
      <c r="Z48" s="5"/>
    </row>
    <row r="49" spans="1:26" x14ac:dyDescent="0.2">
      <c r="A49" s="8"/>
      <c r="C49" s="48">
        <v>1159</v>
      </c>
      <c r="D49" s="48" t="s">
        <v>14</v>
      </c>
      <c r="E49" s="48">
        <v>1150</v>
      </c>
      <c r="F49" s="48" t="s">
        <v>15</v>
      </c>
      <c r="G49" s="48" t="s">
        <v>1</v>
      </c>
      <c r="H49" s="48" t="s">
        <v>3</v>
      </c>
      <c r="I49" s="47" t="s">
        <v>26</v>
      </c>
      <c r="J49" s="46">
        <f t="shared" si="3"/>
        <v>2209.6451946687998</v>
      </c>
      <c r="K49" s="45">
        <v>165.27582608</v>
      </c>
      <c r="L49" s="45">
        <v>165.27582608</v>
      </c>
      <c r="M49" s="45">
        <v>165.27582608</v>
      </c>
      <c r="N49" s="45">
        <v>165.27582608</v>
      </c>
      <c r="O49" s="45">
        <v>186.53433629359998</v>
      </c>
      <c r="P49" s="45">
        <v>186.53433629359998</v>
      </c>
      <c r="Q49" s="45">
        <v>191.64953629359997</v>
      </c>
      <c r="R49" s="45">
        <v>196.76473629359995</v>
      </c>
      <c r="S49" s="45">
        <v>196.76473629359995</v>
      </c>
      <c r="T49" s="45">
        <v>196.76473629359995</v>
      </c>
      <c r="U49" s="45">
        <v>196.76473629359995</v>
      </c>
      <c r="V49" s="45">
        <v>196.76473629359995</v>
      </c>
      <c r="W49" s="47"/>
      <c r="X49" s="47"/>
      <c r="Z49" s="5"/>
    </row>
    <row r="50" spans="1:26" x14ac:dyDescent="0.2">
      <c r="A50" s="8"/>
      <c r="C50" s="48">
        <v>1159</v>
      </c>
      <c r="D50" s="48" t="s">
        <v>14</v>
      </c>
      <c r="E50" s="48">
        <v>1150</v>
      </c>
      <c r="F50" s="48" t="s">
        <v>15</v>
      </c>
      <c r="G50" s="48" t="s">
        <v>1</v>
      </c>
      <c r="H50" s="48" t="s">
        <v>3</v>
      </c>
      <c r="I50" s="47" t="s">
        <v>25</v>
      </c>
      <c r="J50" s="46">
        <f t="shared" si="3"/>
        <v>6620.9872199967976</v>
      </c>
      <c r="K50" s="45">
        <v>495.23296088000006</v>
      </c>
      <c r="L50" s="45">
        <v>495.23296088000006</v>
      </c>
      <c r="M50" s="45">
        <v>495.23296088000006</v>
      </c>
      <c r="N50" s="45">
        <v>495.23296088000006</v>
      </c>
      <c r="O50" s="45">
        <v>558.93202205960006</v>
      </c>
      <c r="P50" s="45">
        <v>558.93202205960006</v>
      </c>
      <c r="Q50" s="45">
        <v>574.25922205960001</v>
      </c>
      <c r="R50" s="45">
        <v>589.58642205959995</v>
      </c>
      <c r="S50" s="45">
        <v>589.58642205959995</v>
      </c>
      <c r="T50" s="45">
        <v>589.58642205959995</v>
      </c>
      <c r="U50" s="45">
        <v>589.58642205959995</v>
      </c>
      <c r="V50" s="45">
        <v>589.58642205959995</v>
      </c>
      <c r="W50" s="47"/>
      <c r="X50" s="47"/>
      <c r="Z50" s="5"/>
    </row>
    <row r="51" spans="1:26" x14ac:dyDescent="0.2">
      <c r="A51" s="8"/>
      <c r="C51" s="48">
        <v>1159</v>
      </c>
      <c r="D51" s="48" t="s">
        <v>14</v>
      </c>
      <c r="E51" s="48">
        <v>1150</v>
      </c>
      <c r="F51" s="48" t="s">
        <v>15</v>
      </c>
      <c r="G51" s="48" t="s">
        <v>1</v>
      </c>
      <c r="H51" s="48" t="s">
        <v>3</v>
      </c>
      <c r="I51" s="47" t="s">
        <v>24</v>
      </c>
      <c r="J51" s="46">
        <f t="shared" si="3"/>
        <v>87432.004105600019</v>
      </c>
      <c r="K51" s="45">
        <v>6539.6909600000008</v>
      </c>
      <c r="L51" s="45">
        <v>6539.6909600000008</v>
      </c>
      <c r="M51" s="45">
        <v>6539.6909600000008</v>
      </c>
      <c r="N51" s="45">
        <v>6539.6909600000008</v>
      </c>
      <c r="O51" s="45">
        <v>7380.8550332000013</v>
      </c>
      <c r="P51" s="45">
        <v>7380.8550332000013</v>
      </c>
      <c r="Q51" s="45">
        <v>7583.255033200001</v>
      </c>
      <c r="R51" s="45">
        <v>7785.6550332000006</v>
      </c>
      <c r="S51" s="45">
        <v>7785.6550332000006</v>
      </c>
      <c r="T51" s="45">
        <v>7785.6550332000006</v>
      </c>
      <c r="U51" s="45">
        <v>7785.6550332000006</v>
      </c>
      <c r="V51" s="45">
        <v>7785.6550332000006</v>
      </c>
      <c r="W51" s="47"/>
      <c r="X51" s="47"/>
      <c r="Z51" s="5"/>
    </row>
    <row r="52" spans="1:26" x14ac:dyDescent="0.2">
      <c r="A52" s="8"/>
      <c r="C52" s="48">
        <v>1159</v>
      </c>
      <c r="D52" s="48" t="s">
        <v>14</v>
      </c>
      <c r="E52" s="48">
        <v>1150</v>
      </c>
      <c r="F52" s="48" t="s">
        <v>15</v>
      </c>
      <c r="G52" s="48" t="s">
        <v>1</v>
      </c>
      <c r="H52" s="48" t="s">
        <v>3</v>
      </c>
      <c r="I52" s="47" t="s">
        <v>23</v>
      </c>
      <c r="J52" s="46">
        <f t="shared" si="3"/>
        <v>2430.6097141356804</v>
      </c>
      <c r="K52" s="45">
        <v>181.80340868800002</v>
      </c>
      <c r="L52" s="45">
        <v>181.80340868800002</v>
      </c>
      <c r="M52" s="45">
        <v>181.80340868800002</v>
      </c>
      <c r="N52" s="45">
        <v>181.80340868800002</v>
      </c>
      <c r="O52" s="45">
        <v>205.18776992296003</v>
      </c>
      <c r="P52" s="45">
        <v>205.18776992296003</v>
      </c>
      <c r="Q52" s="45">
        <v>210.81448992296004</v>
      </c>
      <c r="R52" s="45">
        <v>216.44120992296004</v>
      </c>
      <c r="S52" s="45">
        <v>216.44120992296004</v>
      </c>
      <c r="T52" s="45">
        <v>216.44120992296004</v>
      </c>
      <c r="U52" s="45">
        <v>216.44120992296004</v>
      </c>
      <c r="V52" s="45">
        <v>216.44120992296004</v>
      </c>
      <c r="W52" s="47"/>
      <c r="X52" s="47"/>
      <c r="Z52" s="5"/>
    </row>
    <row r="53" spans="1:26" x14ac:dyDescent="0.2">
      <c r="A53" s="8"/>
      <c r="C53" s="48">
        <v>1159</v>
      </c>
      <c r="D53" s="48" t="s">
        <v>14</v>
      </c>
      <c r="E53" s="48">
        <v>1150</v>
      </c>
      <c r="F53" s="48" t="s">
        <v>15</v>
      </c>
      <c r="G53" s="48" t="s">
        <v>1</v>
      </c>
      <c r="H53" s="48" t="s">
        <v>3</v>
      </c>
      <c r="I53" s="47" t="s">
        <v>22</v>
      </c>
      <c r="J53" s="46">
        <f t="shared" si="3"/>
        <v>2762.0564933360006</v>
      </c>
      <c r="K53" s="45">
        <v>206.5947826</v>
      </c>
      <c r="L53" s="45">
        <v>206.5947826</v>
      </c>
      <c r="M53" s="45">
        <v>206.5947826</v>
      </c>
      <c r="N53" s="45">
        <v>206.5947826</v>
      </c>
      <c r="O53" s="45">
        <v>233.16792036700002</v>
      </c>
      <c r="P53" s="45">
        <v>233.16792036700002</v>
      </c>
      <c r="Q53" s="45">
        <v>239.56192036700003</v>
      </c>
      <c r="R53" s="45">
        <v>245.95592036700003</v>
      </c>
      <c r="S53" s="45">
        <v>245.95592036700003</v>
      </c>
      <c r="T53" s="45">
        <v>245.95592036700003</v>
      </c>
      <c r="U53" s="45">
        <v>245.95592036700003</v>
      </c>
      <c r="V53" s="45">
        <v>245.95592036700003</v>
      </c>
      <c r="W53" s="47"/>
      <c r="X53" s="47"/>
      <c r="Z53" s="5"/>
    </row>
    <row r="54" spans="1:26" x14ac:dyDescent="0.2">
      <c r="A54" s="8"/>
      <c r="C54" s="48">
        <v>1159</v>
      </c>
      <c r="D54" s="48" t="s">
        <v>14</v>
      </c>
      <c r="E54" s="48">
        <v>1150</v>
      </c>
      <c r="F54" s="48" t="s">
        <v>15</v>
      </c>
      <c r="G54" s="48" t="s">
        <v>1</v>
      </c>
      <c r="H54" s="48" t="s">
        <v>3</v>
      </c>
      <c r="I54" s="47" t="s">
        <v>21</v>
      </c>
      <c r="J54" s="46">
        <f t="shared" si="3"/>
        <v>7283.0859419964781</v>
      </c>
      <c r="K54" s="45">
        <v>544.756256968</v>
      </c>
      <c r="L54" s="45">
        <v>544.756256968</v>
      </c>
      <c r="M54" s="45">
        <v>544.756256968</v>
      </c>
      <c r="N54" s="45">
        <v>544.756256968</v>
      </c>
      <c r="O54" s="45">
        <v>614.82522426556</v>
      </c>
      <c r="P54" s="45">
        <v>614.82522426556</v>
      </c>
      <c r="Q54" s="45">
        <v>631.68514426555998</v>
      </c>
      <c r="R54" s="45">
        <v>648.54506426555997</v>
      </c>
      <c r="S54" s="45">
        <v>648.54506426555997</v>
      </c>
      <c r="T54" s="45">
        <v>648.54506426555997</v>
      </c>
      <c r="U54" s="45">
        <v>648.54506426555997</v>
      </c>
      <c r="V54" s="45">
        <v>648.54506426555997</v>
      </c>
      <c r="W54" s="47"/>
      <c r="X54" s="47"/>
      <c r="Z54" s="5"/>
    </row>
    <row r="55" spans="1:26" x14ac:dyDescent="0.2">
      <c r="A55" s="8"/>
      <c r="C55" s="48">
        <v>1159</v>
      </c>
      <c r="D55" s="48" t="s">
        <v>14</v>
      </c>
      <c r="E55" s="48">
        <v>1150</v>
      </c>
      <c r="F55" s="48" t="s">
        <v>15</v>
      </c>
      <c r="G55" s="48" t="s">
        <v>1</v>
      </c>
      <c r="H55" s="48" t="s">
        <v>3</v>
      </c>
      <c r="I55" s="47" t="s">
        <v>20</v>
      </c>
      <c r="J55" s="46">
        <f t="shared" si="3"/>
        <v>8276.2340249959998</v>
      </c>
      <c r="K55" s="45">
        <v>619.04120110000008</v>
      </c>
      <c r="L55" s="45">
        <v>619.04120110000008</v>
      </c>
      <c r="M55" s="45">
        <v>619.04120110000008</v>
      </c>
      <c r="N55" s="45">
        <v>619.04120110000008</v>
      </c>
      <c r="O55" s="45">
        <v>698.66502757450007</v>
      </c>
      <c r="P55" s="45">
        <v>698.66502757450007</v>
      </c>
      <c r="Q55" s="45">
        <v>717.82402757450006</v>
      </c>
      <c r="R55" s="45">
        <v>736.98302757450006</v>
      </c>
      <c r="S55" s="45">
        <v>736.98302757450006</v>
      </c>
      <c r="T55" s="45">
        <v>736.98302757450006</v>
      </c>
      <c r="U55" s="45">
        <v>736.98302757450006</v>
      </c>
      <c r="V55" s="45">
        <v>736.98302757450006</v>
      </c>
      <c r="W55" s="47"/>
      <c r="X55" s="47"/>
      <c r="Z55" s="5"/>
    </row>
    <row r="56" spans="1:26" x14ac:dyDescent="0.2">
      <c r="A56" s="8"/>
      <c r="C56" s="48">
        <v>1159</v>
      </c>
      <c r="D56" s="48" t="s">
        <v>14</v>
      </c>
      <c r="E56" s="48">
        <v>1150</v>
      </c>
      <c r="F56" s="48" t="s">
        <v>15</v>
      </c>
      <c r="G56" s="48" t="s">
        <v>1</v>
      </c>
      <c r="H56" s="48" t="s">
        <v>3</v>
      </c>
      <c r="I56" s="47" t="s">
        <v>19</v>
      </c>
      <c r="J56" s="46">
        <f t="shared" si="3"/>
        <v>99354.550120000014</v>
      </c>
      <c r="K56" s="45">
        <v>7431.4670000000006</v>
      </c>
      <c r="L56" s="45">
        <v>7431.4670000000006</v>
      </c>
      <c r="M56" s="45">
        <v>7431.4670000000006</v>
      </c>
      <c r="N56" s="45">
        <v>7431.4670000000006</v>
      </c>
      <c r="O56" s="45">
        <v>8387.3352649999997</v>
      </c>
      <c r="P56" s="45">
        <v>8387.3352649999997</v>
      </c>
      <c r="Q56" s="45">
        <v>8617.3352649999997</v>
      </c>
      <c r="R56" s="45">
        <v>8847.3352649999997</v>
      </c>
      <c r="S56" s="45">
        <v>8847.3352649999997</v>
      </c>
      <c r="T56" s="45">
        <v>8847.3352649999997</v>
      </c>
      <c r="U56" s="45">
        <v>8847.3352649999997</v>
      </c>
      <c r="V56" s="45">
        <v>8847.3352649999997</v>
      </c>
      <c r="W56" s="47"/>
      <c r="X56" s="47"/>
      <c r="Z56" s="5"/>
    </row>
    <row r="57" spans="1:26" x14ac:dyDescent="0.2">
      <c r="A57" s="8"/>
      <c r="C57" s="48">
        <v>1159</v>
      </c>
      <c r="D57" s="48" t="s">
        <v>14</v>
      </c>
      <c r="E57" s="48">
        <v>1150</v>
      </c>
      <c r="F57" s="48" t="s">
        <v>15</v>
      </c>
      <c r="G57" s="48" t="s">
        <v>1</v>
      </c>
      <c r="H57" s="48" t="s">
        <v>3</v>
      </c>
      <c r="I57" s="47" t="s">
        <v>18</v>
      </c>
      <c r="J57" s="46">
        <f t="shared" si="3"/>
        <v>967883.30375199975</v>
      </c>
      <c r="K57" s="45">
        <v>72484.428199999995</v>
      </c>
      <c r="L57" s="45">
        <v>72484.428199999995</v>
      </c>
      <c r="M57" s="45">
        <v>72484.428199999995</v>
      </c>
      <c r="N57" s="45">
        <v>72484.428199999995</v>
      </c>
      <c r="O57" s="45">
        <v>81770.448869</v>
      </c>
      <c r="P57" s="45">
        <v>81770.448869</v>
      </c>
      <c r="Q57" s="45">
        <v>83932.448869</v>
      </c>
      <c r="R57" s="45">
        <v>86094.448869</v>
      </c>
      <c r="S57" s="45">
        <v>86094.448869</v>
      </c>
      <c r="T57" s="45">
        <v>86094.448869</v>
      </c>
      <c r="U57" s="45">
        <v>86094.448869</v>
      </c>
      <c r="V57" s="45">
        <v>86094.448869</v>
      </c>
      <c r="W57" s="47"/>
      <c r="X57" s="47"/>
      <c r="Z57" s="5"/>
    </row>
    <row r="58" spans="1:26" x14ac:dyDescent="0.2">
      <c r="A58" s="8"/>
      <c r="C58" s="48">
        <v>1159</v>
      </c>
      <c r="D58" s="48" t="s">
        <v>14</v>
      </c>
      <c r="E58" s="48">
        <v>1150</v>
      </c>
      <c r="F58" s="48" t="s">
        <v>15</v>
      </c>
      <c r="G58" s="48" t="s">
        <v>1</v>
      </c>
      <c r="H58" s="48" t="s">
        <v>3</v>
      </c>
      <c r="I58" s="47" t="s">
        <v>17</v>
      </c>
      <c r="J58" s="46">
        <f t="shared" si="3"/>
        <v>3057.24</v>
      </c>
      <c r="K58" s="45">
        <v>210.24000000000004</v>
      </c>
      <c r="L58" s="45">
        <v>210.24000000000004</v>
      </c>
      <c r="M58" s="45">
        <v>210.24000000000004</v>
      </c>
      <c r="N58" s="45">
        <v>210.24000000000004</v>
      </c>
      <c r="O58" s="45">
        <v>250.53599999999997</v>
      </c>
      <c r="P58" s="45">
        <v>250.53599999999997</v>
      </c>
      <c r="Q58" s="45">
        <v>269.80799999999999</v>
      </c>
      <c r="R58" s="45">
        <v>289.08</v>
      </c>
      <c r="S58" s="45">
        <v>289.08</v>
      </c>
      <c r="T58" s="45">
        <v>289.08</v>
      </c>
      <c r="U58" s="45">
        <v>289.08</v>
      </c>
      <c r="V58" s="45">
        <v>289.08</v>
      </c>
      <c r="W58" s="47"/>
      <c r="X58" s="47"/>
      <c r="Z58" s="5"/>
    </row>
    <row r="59" spans="1:26" x14ac:dyDescent="0.2">
      <c r="A59" s="8"/>
      <c r="C59" s="48">
        <v>1159</v>
      </c>
      <c r="D59" s="48" t="s">
        <v>14</v>
      </c>
      <c r="E59" s="48">
        <v>1150</v>
      </c>
      <c r="F59" s="48" t="s">
        <v>15</v>
      </c>
      <c r="G59" s="48" t="s">
        <v>1</v>
      </c>
      <c r="H59" s="48" t="s">
        <v>3</v>
      </c>
      <c r="I59" s="47" t="s">
        <v>12</v>
      </c>
      <c r="J59" s="46">
        <f t="shared" si="3"/>
        <v>139973.4</v>
      </c>
      <c r="K59" s="45">
        <v>9975</v>
      </c>
      <c r="L59" s="45">
        <v>9975</v>
      </c>
      <c r="M59" s="45">
        <v>9975</v>
      </c>
      <c r="N59" s="45">
        <v>9975</v>
      </c>
      <c r="O59" s="45">
        <v>11302.199999999999</v>
      </c>
      <c r="P59" s="45">
        <v>11302.199999999999</v>
      </c>
      <c r="Q59" s="45">
        <v>12179.999999999998</v>
      </c>
      <c r="R59" s="45">
        <v>13057.799999999997</v>
      </c>
      <c r="S59" s="45">
        <v>13057.799999999997</v>
      </c>
      <c r="T59" s="45">
        <v>13057.799999999997</v>
      </c>
      <c r="U59" s="45">
        <v>13057.799999999997</v>
      </c>
      <c r="V59" s="45">
        <v>13057.799999999997</v>
      </c>
      <c r="W59" s="47"/>
      <c r="X59" s="47"/>
      <c r="Z59" s="5"/>
    </row>
    <row r="60" spans="1:26" x14ac:dyDescent="0.2">
      <c r="A60" s="8"/>
      <c r="C60" s="48">
        <v>1159</v>
      </c>
      <c r="D60" s="48" t="s">
        <v>14</v>
      </c>
      <c r="E60" s="48">
        <v>1150</v>
      </c>
      <c r="F60" s="48" t="s">
        <v>15</v>
      </c>
      <c r="G60" s="48" t="s">
        <v>1</v>
      </c>
      <c r="H60" s="48" t="s">
        <v>3</v>
      </c>
      <c r="I60" s="47" t="s">
        <v>16</v>
      </c>
      <c r="J60" s="46">
        <f t="shared" si="3"/>
        <v>13925.520000000002</v>
      </c>
      <c r="K60" s="45">
        <v>753.48</v>
      </c>
      <c r="L60" s="45">
        <v>753.48</v>
      </c>
      <c r="M60" s="45">
        <v>753.48</v>
      </c>
      <c r="N60" s="45">
        <v>753.48</v>
      </c>
      <c r="O60" s="45">
        <v>1010.52</v>
      </c>
      <c r="P60" s="45">
        <v>1010.52</v>
      </c>
      <c r="Q60" s="45">
        <v>1267.56</v>
      </c>
      <c r="R60" s="45">
        <v>1524.6</v>
      </c>
      <c r="S60" s="45">
        <v>1524.6</v>
      </c>
      <c r="T60" s="45">
        <v>1524.6</v>
      </c>
      <c r="U60" s="45">
        <v>1524.6</v>
      </c>
      <c r="V60" s="45">
        <v>1524.6</v>
      </c>
      <c r="W60" s="47"/>
      <c r="X60" s="47"/>
      <c r="Z60" s="5"/>
    </row>
    <row r="61" spans="1:26" x14ac:dyDescent="0.2">
      <c r="A61" s="8"/>
      <c r="C61" s="48">
        <v>1159</v>
      </c>
      <c r="D61" s="48" t="s">
        <v>14</v>
      </c>
      <c r="E61" s="48">
        <v>1159</v>
      </c>
      <c r="F61" s="48" t="s">
        <v>14</v>
      </c>
      <c r="G61" s="48" t="s">
        <v>1</v>
      </c>
      <c r="H61" s="48" t="s">
        <v>3</v>
      </c>
      <c r="I61" s="47" t="s">
        <v>39</v>
      </c>
      <c r="J61" s="46">
        <f t="shared" si="3"/>
        <v>20154.937728000004</v>
      </c>
      <c r="K61" s="45">
        <v>1658.8415679999998</v>
      </c>
      <c r="L61" s="45">
        <v>1658.8415679999998</v>
      </c>
      <c r="M61" s="45">
        <v>1658.8415679999998</v>
      </c>
      <c r="N61" s="45">
        <v>1658.8415679999998</v>
      </c>
      <c r="O61" s="45">
        <v>1689.9464319999997</v>
      </c>
      <c r="P61" s="45">
        <v>1689.9464319999997</v>
      </c>
      <c r="Q61" s="45">
        <v>1689.9464319999997</v>
      </c>
      <c r="R61" s="45">
        <v>1689.9464319999997</v>
      </c>
      <c r="S61" s="45">
        <v>1689.9464319999997</v>
      </c>
      <c r="T61" s="45">
        <v>1689.9464319999997</v>
      </c>
      <c r="U61" s="45">
        <v>1689.9464319999997</v>
      </c>
      <c r="V61" s="45">
        <v>1689.9464319999997</v>
      </c>
      <c r="W61" s="47"/>
      <c r="X61" s="47"/>
      <c r="Z61" s="5"/>
    </row>
    <row r="62" spans="1:26" x14ac:dyDescent="0.2">
      <c r="A62" s="8"/>
      <c r="C62" s="48">
        <v>1159</v>
      </c>
      <c r="D62" s="48" t="s">
        <v>14</v>
      </c>
      <c r="E62" s="48">
        <v>1159</v>
      </c>
      <c r="F62" s="48" t="s">
        <v>14</v>
      </c>
      <c r="G62" s="48" t="s">
        <v>1</v>
      </c>
      <c r="H62" s="48" t="s">
        <v>3</v>
      </c>
      <c r="I62" s="47" t="s">
        <v>32</v>
      </c>
      <c r="J62" s="46">
        <f t="shared" si="3"/>
        <v>60392.31340799998</v>
      </c>
      <c r="K62" s="45">
        <v>4970.557648</v>
      </c>
      <c r="L62" s="45">
        <v>4970.557648</v>
      </c>
      <c r="M62" s="45">
        <v>4970.557648</v>
      </c>
      <c r="N62" s="45">
        <v>4970.557648</v>
      </c>
      <c r="O62" s="45">
        <v>5063.7603519999993</v>
      </c>
      <c r="P62" s="45">
        <v>5063.7603519999993</v>
      </c>
      <c r="Q62" s="45">
        <v>5063.7603519999993</v>
      </c>
      <c r="R62" s="45">
        <v>5063.7603519999993</v>
      </c>
      <c r="S62" s="45">
        <v>5063.7603519999993</v>
      </c>
      <c r="T62" s="45">
        <v>5063.7603519999993</v>
      </c>
      <c r="U62" s="45">
        <v>5063.7603519999993</v>
      </c>
      <c r="V62" s="45">
        <v>5063.7603519999993</v>
      </c>
      <c r="W62" s="47"/>
      <c r="X62" s="47"/>
      <c r="Z62" s="5"/>
    </row>
    <row r="63" spans="1:26" x14ac:dyDescent="0.2">
      <c r="A63" s="8"/>
      <c r="C63" s="48">
        <v>1159</v>
      </c>
      <c r="D63" s="48" t="s">
        <v>14</v>
      </c>
      <c r="E63" s="48">
        <v>1159</v>
      </c>
      <c r="F63" s="48" t="s">
        <v>14</v>
      </c>
      <c r="G63" s="48" t="s">
        <v>1</v>
      </c>
      <c r="H63" s="48" t="s">
        <v>3</v>
      </c>
      <c r="I63" s="47" t="s">
        <v>42</v>
      </c>
      <c r="J63" s="46">
        <f t="shared" si="3"/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7"/>
      <c r="X63" s="47"/>
      <c r="Z63" s="5"/>
    </row>
    <row r="64" spans="1:26" x14ac:dyDescent="0.2">
      <c r="A64" s="8"/>
      <c r="C64" s="48">
        <v>1159</v>
      </c>
      <c r="D64" s="48" t="s">
        <v>14</v>
      </c>
      <c r="E64" s="48">
        <v>1159</v>
      </c>
      <c r="F64" s="48" t="s">
        <v>14</v>
      </c>
      <c r="G64" s="48" t="s">
        <v>1</v>
      </c>
      <c r="H64" s="48" t="s">
        <v>3</v>
      </c>
      <c r="I64" s="47" t="s">
        <v>442</v>
      </c>
      <c r="J64" s="46">
        <f t="shared" si="3"/>
        <v>32730.396000000001</v>
      </c>
      <c r="K64" s="45">
        <v>2612.88</v>
      </c>
      <c r="L64" s="45">
        <v>2612.88</v>
      </c>
      <c r="M64" s="45">
        <v>2612.88</v>
      </c>
      <c r="N64" s="45">
        <v>2612.88</v>
      </c>
      <c r="O64" s="45">
        <v>2612.88</v>
      </c>
      <c r="P64" s="45">
        <v>2809.4280000000003</v>
      </c>
      <c r="Q64" s="45">
        <v>2809.4280000000003</v>
      </c>
      <c r="R64" s="45">
        <v>2809.4280000000003</v>
      </c>
      <c r="S64" s="45">
        <v>2809.4280000000003</v>
      </c>
      <c r="T64" s="45">
        <v>2809.4280000000003</v>
      </c>
      <c r="U64" s="45">
        <v>2809.4280000000003</v>
      </c>
      <c r="V64" s="45">
        <v>2809.4280000000003</v>
      </c>
      <c r="W64" s="47"/>
      <c r="X64" s="47"/>
      <c r="Z64" s="5"/>
    </row>
    <row r="65" spans="1:26" x14ac:dyDescent="0.2">
      <c r="A65" s="8"/>
      <c r="C65" s="48">
        <v>1159</v>
      </c>
      <c r="D65" s="48" t="s">
        <v>14</v>
      </c>
      <c r="E65" s="48">
        <v>1159</v>
      </c>
      <c r="F65" s="48" t="s">
        <v>14</v>
      </c>
      <c r="G65" s="48" t="s">
        <v>1</v>
      </c>
      <c r="H65" s="48" t="s">
        <v>3</v>
      </c>
      <c r="I65" s="47" t="s">
        <v>30</v>
      </c>
      <c r="J65" s="46">
        <f t="shared" si="3"/>
        <v>1099.5660000000003</v>
      </c>
      <c r="K65" s="45">
        <v>86.58</v>
      </c>
      <c r="L65" s="45">
        <v>86.58</v>
      </c>
      <c r="M65" s="45">
        <v>86.58</v>
      </c>
      <c r="N65" s="45">
        <v>86.58</v>
      </c>
      <c r="O65" s="45">
        <v>86.58</v>
      </c>
      <c r="P65" s="45">
        <v>95.238</v>
      </c>
      <c r="Q65" s="45">
        <v>95.238</v>
      </c>
      <c r="R65" s="45">
        <v>95.238</v>
      </c>
      <c r="S65" s="45">
        <v>95.238</v>
      </c>
      <c r="T65" s="45">
        <v>95.238</v>
      </c>
      <c r="U65" s="45">
        <v>95.238</v>
      </c>
      <c r="V65" s="45">
        <v>95.238</v>
      </c>
      <c r="W65" s="47"/>
      <c r="X65" s="47"/>
      <c r="Z65" s="5"/>
    </row>
    <row r="66" spans="1:26" x14ac:dyDescent="0.2">
      <c r="A66" s="8"/>
      <c r="C66" s="48">
        <v>1159</v>
      </c>
      <c r="D66" s="48" t="s">
        <v>14</v>
      </c>
      <c r="E66" s="48">
        <v>1159</v>
      </c>
      <c r="F66" s="48" t="s">
        <v>14</v>
      </c>
      <c r="G66" s="48" t="s">
        <v>1</v>
      </c>
      <c r="H66" s="48" t="s">
        <v>3</v>
      </c>
      <c r="I66" s="47" t="s">
        <v>29</v>
      </c>
      <c r="J66" s="46">
        <f t="shared" si="3"/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7"/>
      <c r="X66" s="47"/>
      <c r="Z66" s="5"/>
    </row>
    <row r="67" spans="1:26" x14ac:dyDescent="0.2">
      <c r="A67" s="8"/>
      <c r="C67" s="48">
        <v>1159</v>
      </c>
      <c r="D67" s="48" t="s">
        <v>14</v>
      </c>
      <c r="E67" s="48">
        <v>1159</v>
      </c>
      <c r="F67" s="48" t="s">
        <v>14</v>
      </c>
      <c r="G67" s="48" t="s">
        <v>1</v>
      </c>
      <c r="H67" s="48" t="s">
        <v>3</v>
      </c>
      <c r="I67" s="47" t="s">
        <v>28</v>
      </c>
      <c r="J67" s="46">
        <f t="shared" si="3"/>
        <v>328456.80000000005</v>
      </c>
      <c r="K67" s="45"/>
      <c r="L67" s="45"/>
      <c r="M67" s="45"/>
      <c r="N67" s="45">
        <v>36495.199999999997</v>
      </c>
      <c r="O67" s="45">
        <v>36495.199999999997</v>
      </c>
      <c r="P67" s="45">
        <v>36495.199999999997</v>
      </c>
      <c r="Q67" s="45">
        <v>36495.199999999997</v>
      </c>
      <c r="R67" s="45">
        <v>36495.199999999997</v>
      </c>
      <c r="S67" s="45">
        <v>36495.199999999997</v>
      </c>
      <c r="T67" s="45">
        <v>36495.199999999997</v>
      </c>
      <c r="U67" s="45">
        <v>36495.199999999997</v>
      </c>
      <c r="V67" s="45">
        <v>36495.199999999997</v>
      </c>
      <c r="W67" s="47"/>
      <c r="X67" s="47"/>
      <c r="Z67" s="5"/>
    </row>
    <row r="68" spans="1:26" x14ac:dyDescent="0.2">
      <c r="A68" s="8"/>
      <c r="C68" s="48">
        <v>1159</v>
      </c>
      <c r="D68" s="48" t="s">
        <v>14</v>
      </c>
      <c r="E68" s="48">
        <v>1159</v>
      </c>
      <c r="F68" s="48" t="s">
        <v>14</v>
      </c>
      <c r="G68" s="48" t="s">
        <v>1</v>
      </c>
      <c r="H68" s="48" t="s">
        <v>3</v>
      </c>
      <c r="I68" s="47" t="s">
        <v>27</v>
      </c>
      <c r="J68" s="46">
        <f t="shared" si="3"/>
        <v>57999.820800000009</v>
      </c>
      <c r="K68" s="45">
        <v>4773.6448</v>
      </c>
      <c r="L68" s="45">
        <v>4773.6448</v>
      </c>
      <c r="M68" s="45">
        <v>4773.6448</v>
      </c>
      <c r="N68" s="45">
        <v>4773.6448</v>
      </c>
      <c r="O68" s="45">
        <v>4863.1552000000001</v>
      </c>
      <c r="P68" s="45">
        <v>4863.1552000000001</v>
      </c>
      <c r="Q68" s="45">
        <v>4863.1552000000001</v>
      </c>
      <c r="R68" s="45">
        <v>4863.1552000000001</v>
      </c>
      <c r="S68" s="45">
        <v>4863.1552000000001</v>
      </c>
      <c r="T68" s="45">
        <v>4863.1552000000001</v>
      </c>
      <c r="U68" s="45">
        <v>4863.1552000000001</v>
      </c>
      <c r="V68" s="45">
        <v>4863.1552000000001</v>
      </c>
      <c r="W68" s="47"/>
      <c r="X68" s="47"/>
      <c r="Z68" s="5"/>
    </row>
    <row r="69" spans="1:26" x14ac:dyDescent="0.2">
      <c r="A69" s="8"/>
      <c r="C69" s="48">
        <v>1159</v>
      </c>
      <c r="D69" s="48" t="s">
        <v>14</v>
      </c>
      <c r="E69" s="48">
        <v>1159</v>
      </c>
      <c r="F69" s="48" t="s">
        <v>14</v>
      </c>
      <c r="G69" s="48" t="s">
        <v>1</v>
      </c>
      <c r="H69" s="48" t="s">
        <v>3</v>
      </c>
      <c r="I69" s="47" t="s">
        <v>26</v>
      </c>
      <c r="J69" s="46">
        <f t="shared" si="3"/>
        <v>1612.3950182399997</v>
      </c>
      <c r="K69" s="45">
        <v>132.70732544000001</v>
      </c>
      <c r="L69" s="45">
        <v>132.70732544000001</v>
      </c>
      <c r="M69" s="45">
        <v>132.70732544000001</v>
      </c>
      <c r="N69" s="45">
        <v>132.70732544000001</v>
      </c>
      <c r="O69" s="45">
        <v>135.19571456</v>
      </c>
      <c r="P69" s="45">
        <v>135.19571456</v>
      </c>
      <c r="Q69" s="45">
        <v>135.19571456</v>
      </c>
      <c r="R69" s="45">
        <v>135.19571456</v>
      </c>
      <c r="S69" s="45">
        <v>135.19571456</v>
      </c>
      <c r="T69" s="45">
        <v>135.19571456</v>
      </c>
      <c r="U69" s="45">
        <v>135.19571456</v>
      </c>
      <c r="V69" s="45">
        <v>135.19571456</v>
      </c>
      <c r="W69" s="47"/>
      <c r="X69" s="47"/>
      <c r="Z69" s="5"/>
    </row>
    <row r="70" spans="1:26" x14ac:dyDescent="0.2">
      <c r="A70" s="8"/>
      <c r="C70" s="48">
        <v>1159</v>
      </c>
      <c r="D70" s="48" t="s">
        <v>14</v>
      </c>
      <c r="E70" s="48">
        <v>1159</v>
      </c>
      <c r="F70" s="48" t="s">
        <v>14</v>
      </c>
      <c r="G70" s="48" t="s">
        <v>1</v>
      </c>
      <c r="H70" s="48" t="s">
        <v>3</v>
      </c>
      <c r="I70" s="47" t="s">
        <v>25</v>
      </c>
      <c r="J70" s="46">
        <f t="shared" si="3"/>
        <v>4831.3850726399987</v>
      </c>
      <c r="K70" s="45">
        <v>397.64461183999998</v>
      </c>
      <c r="L70" s="45">
        <v>397.64461183999998</v>
      </c>
      <c r="M70" s="45">
        <v>397.64461183999998</v>
      </c>
      <c r="N70" s="45">
        <v>397.64461183999998</v>
      </c>
      <c r="O70" s="45">
        <v>405.10082815999999</v>
      </c>
      <c r="P70" s="45">
        <v>405.10082815999999</v>
      </c>
      <c r="Q70" s="45">
        <v>405.10082815999999</v>
      </c>
      <c r="R70" s="45">
        <v>405.10082815999999</v>
      </c>
      <c r="S70" s="45">
        <v>405.10082815999999</v>
      </c>
      <c r="T70" s="45">
        <v>405.10082815999999</v>
      </c>
      <c r="U70" s="45">
        <v>405.10082815999999</v>
      </c>
      <c r="V70" s="45">
        <v>405.10082815999999</v>
      </c>
      <c r="W70" s="47"/>
      <c r="X70" s="47"/>
      <c r="Z70" s="5"/>
    </row>
    <row r="71" spans="1:26" x14ac:dyDescent="0.2">
      <c r="A71" s="8"/>
      <c r="C71" s="48">
        <v>1159</v>
      </c>
      <c r="D71" s="48" t="s">
        <v>14</v>
      </c>
      <c r="E71" s="48">
        <v>1159</v>
      </c>
      <c r="F71" s="48" t="s">
        <v>14</v>
      </c>
      <c r="G71" s="48" t="s">
        <v>1</v>
      </c>
      <c r="H71" s="48" t="s">
        <v>3</v>
      </c>
      <c r="I71" s="47" t="s">
        <v>24</v>
      </c>
      <c r="J71" s="46">
        <f t="shared" si="3"/>
        <v>63799.802879999996</v>
      </c>
      <c r="K71" s="45">
        <v>5251.0092800000011</v>
      </c>
      <c r="L71" s="45">
        <v>5251.0092800000011</v>
      </c>
      <c r="M71" s="45">
        <v>5251.0092800000011</v>
      </c>
      <c r="N71" s="45">
        <v>5251.0092800000011</v>
      </c>
      <c r="O71" s="45">
        <v>5349.4707200000003</v>
      </c>
      <c r="P71" s="45">
        <v>5349.4707200000003</v>
      </c>
      <c r="Q71" s="45">
        <v>5349.4707200000003</v>
      </c>
      <c r="R71" s="45">
        <v>5349.4707200000003</v>
      </c>
      <c r="S71" s="45">
        <v>5349.4707200000003</v>
      </c>
      <c r="T71" s="45">
        <v>5349.4707200000003</v>
      </c>
      <c r="U71" s="45">
        <v>5349.4707200000003</v>
      </c>
      <c r="V71" s="45">
        <v>5349.4707200000003</v>
      </c>
      <c r="W71" s="47"/>
      <c r="X71" s="47"/>
      <c r="Z71" s="5"/>
    </row>
    <row r="72" spans="1:26" x14ac:dyDescent="0.2">
      <c r="A72" s="8"/>
      <c r="C72" s="48">
        <v>1159</v>
      </c>
      <c r="D72" s="48" t="s">
        <v>14</v>
      </c>
      <c r="E72" s="48">
        <v>1159</v>
      </c>
      <c r="F72" s="48" t="s">
        <v>14</v>
      </c>
      <c r="G72" s="48" t="s">
        <v>1</v>
      </c>
      <c r="H72" s="48" t="s">
        <v>3</v>
      </c>
      <c r="I72" s="47" t="s">
        <v>23</v>
      </c>
      <c r="J72" s="46">
        <f t="shared" si="3"/>
        <v>1773.6345200639996</v>
      </c>
      <c r="K72" s="45">
        <v>145.97805798400003</v>
      </c>
      <c r="L72" s="45">
        <v>145.97805798400003</v>
      </c>
      <c r="M72" s="45">
        <v>145.97805798400003</v>
      </c>
      <c r="N72" s="45">
        <v>145.97805798400003</v>
      </c>
      <c r="O72" s="45">
        <v>148.71528601599999</v>
      </c>
      <c r="P72" s="45">
        <v>148.71528601599999</v>
      </c>
      <c r="Q72" s="45">
        <v>148.71528601599999</v>
      </c>
      <c r="R72" s="45">
        <v>148.71528601599999</v>
      </c>
      <c r="S72" s="45">
        <v>148.71528601599999</v>
      </c>
      <c r="T72" s="45">
        <v>148.71528601599999</v>
      </c>
      <c r="U72" s="45">
        <v>148.71528601599999</v>
      </c>
      <c r="V72" s="45">
        <v>148.71528601599999</v>
      </c>
      <c r="W72" s="47"/>
      <c r="X72" s="47"/>
      <c r="Z72" s="5"/>
    </row>
    <row r="73" spans="1:26" x14ac:dyDescent="0.2">
      <c r="A73" s="8"/>
      <c r="C73" s="48">
        <v>1159</v>
      </c>
      <c r="D73" s="48" t="s">
        <v>14</v>
      </c>
      <c r="E73" s="48">
        <v>1159</v>
      </c>
      <c r="F73" s="48" t="s">
        <v>14</v>
      </c>
      <c r="G73" s="48" t="s">
        <v>1</v>
      </c>
      <c r="H73" s="48" t="s">
        <v>3</v>
      </c>
      <c r="I73" s="47" t="s">
        <v>22</v>
      </c>
      <c r="J73" s="46">
        <f t="shared" si="3"/>
        <v>2015.4937727999995</v>
      </c>
      <c r="K73" s="45">
        <v>165.8841568</v>
      </c>
      <c r="L73" s="45">
        <v>165.8841568</v>
      </c>
      <c r="M73" s="45">
        <v>165.8841568</v>
      </c>
      <c r="N73" s="45">
        <v>165.8841568</v>
      </c>
      <c r="O73" s="45">
        <v>168.99464319999998</v>
      </c>
      <c r="P73" s="45">
        <v>168.99464319999998</v>
      </c>
      <c r="Q73" s="45">
        <v>168.99464319999998</v>
      </c>
      <c r="R73" s="45">
        <v>168.99464319999998</v>
      </c>
      <c r="S73" s="45">
        <v>168.99464319999998</v>
      </c>
      <c r="T73" s="45">
        <v>168.99464319999998</v>
      </c>
      <c r="U73" s="45">
        <v>168.99464319999998</v>
      </c>
      <c r="V73" s="45">
        <v>168.99464319999998</v>
      </c>
      <c r="W73" s="47"/>
      <c r="X73" s="47"/>
      <c r="Z73" s="5"/>
    </row>
    <row r="74" spans="1:26" x14ac:dyDescent="0.2">
      <c r="A74" s="8"/>
      <c r="C74" s="48">
        <v>1159</v>
      </c>
      <c r="D74" s="48" t="s">
        <v>14</v>
      </c>
      <c r="E74" s="48">
        <v>1159</v>
      </c>
      <c r="F74" s="48" t="s">
        <v>14</v>
      </c>
      <c r="G74" s="48" t="s">
        <v>1</v>
      </c>
      <c r="H74" s="48" t="s">
        <v>3</v>
      </c>
      <c r="I74" s="47" t="s">
        <v>21</v>
      </c>
      <c r="J74" s="46">
        <f t="shared" si="3"/>
        <v>5314.5235799040001</v>
      </c>
      <c r="K74" s="45">
        <v>437.40907302400007</v>
      </c>
      <c r="L74" s="45">
        <v>437.40907302400007</v>
      </c>
      <c r="M74" s="45">
        <v>437.40907302400007</v>
      </c>
      <c r="N74" s="45">
        <v>437.40907302400007</v>
      </c>
      <c r="O74" s="45">
        <v>445.61091097600001</v>
      </c>
      <c r="P74" s="45">
        <v>445.61091097600001</v>
      </c>
      <c r="Q74" s="45">
        <v>445.61091097600001</v>
      </c>
      <c r="R74" s="45">
        <v>445.61091097600001</v>
      </c>
      <c r="S74" s="45">
        <v>445.61091097600001</v>
      </c>
      <c r="T74" s="45">
        <v>445.61091097600001</v>
      </c>
      <c r="U74" s="45">
        <v>445.61091097600001</v>
      </c>
      <c r="V74" s="45">
        <v>445.61091097600001</v>
      </c>
      <c r="W74" s="47"/>
      <c r="X74" s="47"/>
      <c r="Z74" s="5"/>
    </row>
    <row r="75" spans="1:26" x14ac:dyDescent="0.2">
      <c r="A75" s="8"/>
      <c r="C75" s="48">
        <v>1159</v>
      </c>
      <c r="D75" s="48" t="s">
        <v>14</v>
      </c>
      <c r="E75" s="48">
        <v>1159</v>
      </c>
      <c r="F75" s="48" t="s">
        <v>14</v>
      </c>
      <c r="G75" s="48" t="s">
        <v>1</v>
      </c>
      <c r="H75" s="48" t="s">
        <v>3</v>
      </c>
      <c r="I75" s="47" t="s">
        <v>20</v>
      </c>
      <c r="J75" s="46">
        <f t="shared" si="3"/>
        <v>6039.2313408</v>
      </c>
      <c r="K75" s="45">
        <v>497.05576480000002</v>
      </c>
      <c r="L75" s="45">
        <v>497.05576480000002</v>
      </c>
      <c r="M75" s="45">
        <v>497.05576480000002</v>
      </c>
      <c r="N75" s="45">
        <v>497.05576480000002</v>
      </c>
      <c r="O75" s="45">
        <v>506.37603520000005</v>
      </c>
      <c r="P75" s="45">
        <v>506.37603520000005</v>
      </c>
      <c r="Q75" s="45">
        <v>506.37603520000005</v>
      </c>
      <c r="R75" s="45">
        <v>506.37603520000005</v>
      </c>
      <c r="S75" s="45">
        <v>506.37603520000005</v>
      </c>
      <c r="T75" s="45">
        <v>506.37603520000005</v>
      </c>
      <c r="U75" s="45">
        <v>506.37603520000005</v>
      </c>
      <c r="V75" s="45">
        <v>506.37603520000005</v>
      </c>
      <c r="W75" s="47"/>
      <c r="X75" s="47"/>
      <c r="Z75" s="5"/>
    </row>
    <row r="76" spans="1:26" x14ac:dyDescent="0.2">
      <c r="A76" s="8"/>
      <c r="C76" s="48">
        <v>1159</v>
      </c>
      <c r="D76" s="48" t="s">
        <v>14</v>
      </c>
      <c r="E76" s="48">
        <v>1159</v>
      </c>
      <c r="F76" s="48" t="s">
        <v>14</v>
      </c>
      <c r="G76" s="48" t="s">
        <v>1</v>
      </c>
      <c r="H76" s="48" t="s">
        <v>3</v>
      </c>
      <c r="I76" s="47" t="s">
        <v>19</v>
      </c>
      <c r="J76" s="46">
        <f t="shared" si="3"/>
        <v>72499.776000000013</v>
      </c>
      <c r="K76" s="45">
        <v>5967.0560000000005</v>
      </c>
      <c r="L76" s="45">
        <v>5967.0560000000005</v>
      </c>
      <c r="M76" s="45">
        <v>5967.0560000000005</v>
      </c>
      <c r="N76" s="45">
        <v>5967.0560000000005</v>
      </c>
      <c r="O76" s="45">
        <v>6078.9440000000004</v>
      </c>
      <c r="P76" s="45">
        <v>6078.9440000000004</v>
      </c>
      <c r="Q76" s="45">
        <v>6078.9440000000004</v>
      </c>
      <c r="R76" s="45">
        <v>6078.9440000000004</v>
      </c>
      <c r="S76" s="45">
        <v>6078.9440000000004</v>
      </c>
      <c r="T76" s="45">
        <v>6078.9440000000004</v>
      </c>
      <c r="U76" s="45">
        <v>6078.9440000000004</v>
      </c>
      <c r="V76" s="45">
        <v>6078.9440000000004</v>
      </c>
      <c r="W76" s="47"/>
      <c r="X76" s="47"/>
      <c r="Z76" s="5"/>
    </row>
    <row r="77" spans="1:26" x14ac:dyDescent="0.2">
      <c r="A77" s="8"/>
      <c r="C77" s="48">
        <v>1159</v>
      </c>
      <c r="D77" s="48" t="s">
        <v>14</v>
      </c>
      <c r="E77" s="48">
        <v>1159</v>
      </c>
      <c r="F77" s="48" t="s">
        <v>14</v>
      </c>
      <c r="G77" s="48" t="s">
        <v>1</v>
      </c>
      <c r="H77" s="48" t="s">
        <v>3</v>
      </c>
      <c r="I77" s="47" t="s">
        <v>18</v>
      </c>
      <c r="J77" s="46">
        <f t="shared" ref="J77:J100" si="4">SUM(K77+L77+M77+N77+O77+P77+Q77+R77+S77+T77+U77+V77)</f>
        <v>717228.96000000008</v>
      </c>
      <c r="K77" s="45">
        <v>59023.16</v>
      </c>
      <c r="L77" s="45">
        <v>59023.16</v>
      </c>
      <c r="M77" s="45">
        <v>59023.16</v>
      </c>
      <c r="N77" s="45">
        <v>59023.16</v>
      </c>
      <c r="O77" s="45">
        <v>60142.04</v>
      </c>
      <c r="P77" s="45">
        <v>60142.04</v>
      </c>
      <c r="Q77" s="45">
        <v>60142.04</v>
      </c>
      <c r="R77" s="45">
        <v>60142.04</v>
      </c>
      <c r="S77" s="45">
        <v>60142.04</v>
      </c>
      <c r="T77" s="45">
        <v>60142.04</v>
      </c>
      <c r="U77" s="45">
        <v>60142.04</v>
      </c>
      <c r="V77" s="45">
        <v>60142.04</v>
      </c>
      <c r="W77" s="47"/>
      <c r="X77" s="47"/>
      <c r="Z77" s="5"/>
    </row>
    <row r="78" spans="1:26" x14ac:dyDescent="0.2">
      <c r="A78" s="8"/>
      <c r="C78" s="48">
        <v>1159</v>
      </c>
      <c r="D78" s="48" t="s">
        <v>14</v>
      </c>
      <c r="E78" s="48">
        <v>1159</v>
      </c>
      <c r="F78" s="48" t="s">
        <v>14</v>
      </c>
      <c r="G78" s="48" t="s">
        <v>1</v>
      </c>
      <c r="H78" s="48" t="s">
        <v>3</v>
      </c>
      <c r="I78" s="47" t="s">
        <v>17</v>
      </c>
      <c r="J78" s="46">
        <f t="shared" si="4"/>
        <v>672.76800000000026</v>
      </c>
      <c r="K78" s="45">
        <v>52.56</v>
      </c>
      <c r="L78" s="45">
        <v>52.56</v>
      </c>
      <c r="M78" s="45">
        <v>52.56</v>
      </c>
      <c r="N78" s="45">
        <v>52.56</v>
      </c>
      <c r="O78" s="45">
        <v>57.816000000000003</v>
      </c>
      <c r="P78" s="45">
        <v>57.816000000000003</v>
      </c>
      <c r="Q78" s="45">
        <v>57.816000000000003</v>
      </c>
      <c r="R78" s="45">
        <v>57.816000000000003</v>
      </c>
      <c r="S78" s="45">
        <v>57.816000000000003</v>
      </c>
      <c r="T78" s="45">
        <v>57.816000000000003</v>
      </c>
      <c r="U78" s="45">
        <v>57.816000000000003</v>
      </c>
      <c r="V78" s="45">
        <v>57.816000000000003</v>
      </c>
      <c r="W78" s="47"/>
      <c r="X78" s="47"/>
      <c r="Z78" s="5"/>
    </row>
    <row r="79" spans="1:26" x14ac:dyDescent="0.2">
      <c r="A79" s="8"/>
      <c r="C79" s="48">
        <v>1159</v>
      </c>
      <c r="D79" s="48" t="s">
        <v>14</v>
      </c>
      <c r="E79" s="48">
        <v>1159</v>
      </c>
      <c r="F79" s="48" t="s">
        <v>14</v>
      </c>
      <c r="G79" s="48" t="s">
        <v>1</v>
      </c>
      <c r="H79" s="48" t="s">
        <v>3</v>
      </c>
      <c r="I79" s="47" t="s">
        <v>12</v>
      </c>
      <c r="J79" s="46">
        <f t="shared" si="4"/>
        <v>31147.200000000004</v>
      </c>
      <c r="K79" s="45">
        <v>2520</v>
      </c>
      <c r="L79" s="45">
        <v>2520</v>
      </c>
      <c r="M79" s="45">
        <v>2520</v>
      </c>
      <c r="N79" s="45">
        <v>2520</v>
      </c>
      <c r="O79" s="45">
        <v>2633.3999999999996</v>
      </c>
      <c r="P79" s="45">
        <v>2633.3999999999996</v>
      </c>
      <c r="Q79" s="45">
        <v>2633.3999999999996</v>
      </c>
      <c r="R79" s="45">
        <v>2633.3999999999996</v>
      </c>
      <c r="S79" s="45">
        <v>2633.3999999999996</v>
      </c>
      <c r="T79" s="45">
        <v>2633.3999999999996</v>
      </c>
      <c r="U79" s="45">
        <v>2633.3999999999996</v>
      </c>
      <c r="V79" s="45">
        <v>2633.3999999999996</v>
      </c>
      <c r="W79" s="47"/>
      <c r="X79" s="47"/>
      <c r="Z79" s="5"/>
    </row>
    <row r="80" spans="1:26" x14ac:dyDescent="0.2">
      <c r="A80" s="8"/>
      <c r="C80" s="48">
        <v>1159</v>
      </c>
      <c r="D80" s="48" t="s">
        <v>14</v>
      </c>
      <c r="E80" s="48">
        <v>1159</v>
      </c>
      <c r="F80" s="48" t="s">
        <v>14</v>
      </c>
      <c r="G80" s="48" t="s">
        <v>1</v>
      </c>
      <c r="H80" s="48" t="s">
        <v>3</v>
      </c>
      <c r="I80" s="47" t="s">
        <v>16</v>
      </c>
      <c r="J80" s="46">
        <f t="shared" si="4"/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7"/>
      <c r="X80" s="47"/>
      <c r="Z80" s="5"/>
    </row>
    <row r="81" spans="1:26" x14ac:dyDescent="0.2">
      <c r="A81" s="8"/>
      <c r="C81" s="48">
        <v>1159</v>
      </c>
      <c r="D81" s="48" t="s">
        <v>14</v>
      </c>
      <c r="E81" s="48">
        <v>1160</v>
      </c>
      <c r="F81" s="48" t="s">
        <v>13</v>
      </c>
      <c r="G81" s="48" t="s">
        <v>1</v>
      </c>
      <c r="H81" s="48" t="s">
        <v>3</v>
      </c>
      <c r="I81" s="47" t="s">
        <v>39</v>
      </c>
      <c r="J81" s="46">
        <f t="shared" si="4"/>
        <v>23397.045496479997</v>
      </c>
      <c r="K81" s="45">
        <v>1683.2049320000001</v>
      </c>
      <c r="L81" s="45">
        <v>1858.344932</v>
      </c>
      <c r="M81" s="45">
        <v>1922.2849319999996</v>
      </c>
      <c r="N81" s="45">
        <v>1922.2849319999996</v>
      </c>
      <c r="O81" s="45">
        <v>2001.3657210599997</v>
      </c>
      <c r="P81" s="45">
        <v>2001.3657210599997</v>
      </c>
      <c r="Q81" s="45">
        <v>2001.3657210599997</v>
      </c>
      <c r="R81" s="45">
        <v>2001.3657210599997</v>
      </c>
      <c r="S81" s="45">
        <v>2001.3657210599997</v>
      </c>
      <c r="T81" s="45">
        <v>2001.3657210599997</v>
      </c>
      <c r="U81" s="45">
        <v>2001.3657210599997</v>
      </c>
      <c r="V81" s="45">
        <v>2001.3657210599997</v>
      </c>
      <c r="W81" s="47"/>
      <c r="X81" s="47"/>
      <c r="Z81" s="5"/>
    </row>
    <row r="82" spans="1:26" x14ac:dyDescent="0.2">
      <c r="A82" s="8"/>
      <c r="C82" s="48">
        <v>1159</v>
      </c>
      <c r="D82" s="48" t="s">
        <v>14</v>
      </c>
      <c r="E82" s="48">
        <v>1160</v>
      </c>
      <c r="F82" s="48" t="s">
        <v>13</v>
      </c>
      <c r="G82" s="48" t="s">
        <v>1</v>
      </c>
      <c r="H82" s="48" t="s">
        <v>3</v>
      </c>
      <c r="I82" s="47" t="s">
        <v>32</v>
      </c>
      <c r="J82" s="46">
        <f t="shared" si="4"/>
        <v>70106.974455279997</v>
      </c>
      <c r="K82" s="45">
        <v>5043.5601019999995</v>
      </c>
      <c r="L82" s="45">
        <v>5568.3501019999994</v>
      </c>
      <c r="M82" s="45">
        <v>5759.9401019999996</v>
      </c>
      <c r="N82" s="45">
        <v>5759.9401019999996</v>
      </c>
      <c r="O82" s="45">
        <v>5996.8980059099995</v>
      </c>
      <c r="P82" s="45">
        <v>5996.8980059099995</v>
      </c>
      <c r="Q82" s="45">
        <v>5996.8980059099995</v>
      </c>
      <c r="R82" s="45">
        <v>5996.8980059099995</v>
      </c>
      <c r="S82" s="45">
        <v>5996.8980059099995</v>
      </c>
      <c r="T82" s="45">
        <v>5996.8980059099995</v>
      </c>
      <c r="U82" s="45">
        <v>5996.8980059099995</v>
      </c>
      <c r="V82" s="45">
        <v>5996.8980059099995</v>
      </c>
      <c r="W82" s="47"/>
      <c r="X82" s="47"/>
      <c r="Z82" s="5"/>
    </row>
    <row r="83" spans="1:26" x14ac:dyDescent="0.2">
      <c r="A83" s="8"/>
      <c r="C83" s="48">
        <v>1159</v>
      </c>
      <c r="D83" s="48" t="s">
        <v>14</v>
      </c>
      <c r="E83" s="48">
        <v>1160</v>
      </c>
      <c r="F83" s="48" t="s">
        <v>13</v>
      </c>
      <c r="G83" s="48" t="s">
        <v>1</v>
      </c>
      <c r="H83" s="48" t="s">
        <v>3</v>
      </c>
      <c r="I83" s="47" t="s">
        <v>42</v>
      </c>
      <c r="J83" s="46">
        <f t="shared" si="4"/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7"/>
      <c r="X83" s="47"/>
      <c r="Z83" s="5"/>
    </row>
    <row r="84" spans="1:26" x14ac:dyDescent="0.2">
      <c r="A84" s="8"/>
      <c r="C84" s="48">
        <v>1159</v>
      </c>
      <c r="D84" s="48" t="s">
        <v>14</v>
      </c>
      <c r="E84" s="48">
        <v>1160</v>
      </c>
      <c r="F84" s="48" t="s">
        <v>13</v>
      </c>
      <c r="G84" s="48" t="s">
        <v>1</v>
      </c>
      <c r="H84" s="48" t="s">
        <v>3</v>
      </c>
      <c r="I84" s="47" t="s">
        <v>442</v>
      </c>
      <c r="J84" s="46">
        <f t="shared" si="4"/>
        <v>102601.492</v>
      </c>
      <c r="K84" s="45">
        <v>6983.2</v>
      </c>
      <c r="L84" s="45">
        <v>7638.36</v>
      </c>
      <c r="M84" s="45">
        <v>8293.52</v>
      </c>
      <c r="N84" s="45">
        <v>8293.52</v>
      </c>
      <c r="O84" s="45">
        <v>8293.52</v>
      </c>
      <c r="P84" s="45">
        <v>9014.1960000000017</v>
      </c>
      <c r="Q84" s="45">
        <v>9014.1960000000017</v>
      </c>
      <c r="R84" s="45">
        <v>9014.1960000000017</v>
      </c>
      <c r="S84" s="45">
        <v>9014.1960000000017</v>
      </c>
      <c r="T84" s="45">
        <v>9014.1960000000017</v>
      </c>
      <c r="U84" s="45">
        <v>9014.1960000000017</v>
      </c>
      <c r="V84" s="45">
        <v>9014.1960000000017</v>
      </c>
      <c r="W84" s="47"/>
      <c r="X84" s="47"/>
      <c r="Z84" s="5"/>
    </row>
    <row r="85" spans="1:26" x14ac:dyDescent="0.2">
      <c r="A85" s="8"/>
      <c r="C85" s="48">
        <v>1159</v>
      </c>
      <c r="D85" s="48" t="s">
        <v>14</v>
      </c>
      <c r="E85" s="48">
        <v>1160</v>
      </c>
      <c r="F85" s="48" t="s">
        <v>13</v>
      </c>
      <c r="G85" s="48" t="s">
        <v>1</v>
      </c>
      <c r="H85" s="48" t="s">
        <v>3</v>
      </c>
      <c r="I85" s="47" t="s">
        <v>30</v>
      </c>
      <c r="J85" s="46">
        <f t="shared" si="4"/>
        <v>4314.5700000000015</v>
      </c>
      <c r="K85" s="45">
        <v>288.60000000000008</v>
      </c>
      <c r="L85" s="45">
        <v>317.46000000000009</v>
      </c>
      <c r="M85" s="45">
        <v>346.32000000000011</v>
      </c>
      <c r="N85" s="45">
        <v>346.32000000000011</v>
      </c>
      <c r="O85" s="45">
        <v>349.20600000000007</v>
      </c>
      <c r="P85" s="45">
        <v>380.952</v>
      </c>
      <c r="Q85" s="45">
        <v>380.952</v>
      </c>
      <c r="R85" s="45">
        <v>380.952</v>
      </c>
      <c r="S85" s="45">
        <v>380.952</v>
      </c>
      <c r="T85" s="45">
        <v>380.952</v>
      </c>
      <c r="U85" s="45">
        <v>380.952</v>
      </c>
      <c r="V85" s="45">
        <v>380.952</v>
      </c>
      <c r="W85" s="47"/>
      <c r="X85" s="47"/>
      <c r="Z85" s="5"/>
    </row>
    <row r="86" spans="1:26" x14ac:dyDescent="0.2">
      <c r="A86" s="8"/>
      <c r="C86" s="48">
        <v>1159</v>
      </c>
      <c r="D86" s="48" t="s">
        <v>14</v>
      </c>
      <c r="E86" s="48">
        <v>1160</v>
      </c>
      <c r="F86" s="48" t="s">
        <v>13</v>
      </c>
      <c r="G86" s="48" t="s">
        <v>1</v>
      </c>
      <c r="H86" s="48" t="s">
        <v>3</v>
      </c>
      <c r="I86" s="47" t="s">
        <v>29</v>
      </c>
      <c r="J86" s="46">
        <f t="shared" si="4"/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7"/>
      <c r="X86" s="47"/>
      <c r="Z86" s="5"/>
    </row>
    <row r="87" spans="1:26" x14ac:dyDescent="0.2">
      <c r="A87" s="8"/>
      <c r="C87" s="48">
        <v>1159</v>
      </c>
      <c r="D87" s="48" t="s">
        <v>14</v>
      </c>
      <c r="E87" s="48">
        <v>1160</v>
      </c>
      <c r="F87" s="48" t="s">
        <v>13</v>
      </c>
      <c r="G87" s="48" t="s">
        <v>1</v>
      </c>
      <c r="H87" s="48" t="s">
        <v>3</v>
      </c>
      <c r="I87" s="47" t="s">
        <v>28</v>
      </c>
      <c r="J87" s="46">
        <f t="shared" si="4"/>
        <v>143558.01766666662</v>
      </c>
      <c r="K87" s="45"/>
      <c r="L87" s="45"/>
      <c r="M87" s="45"/>
      <c r="N87" s="45">
        <v>15950.890851851849</v>
      </c>
      <c r="O87" s="45">
        <v>15950.890851851849</v>
      </c>
      <c r="P87" s="45">
        <v>15950.890851851849</v>
      </c>
      <c r="Q87" s="45">
        <v>15950.890851851849</v>
      </c>
      <c r="R87" s="45">
        <v>15950.890851851849</v>
      </c>
      <c r="S87" s="45">
        <v>15950.890851851849</v>
      </c>
      <c r="T87" s="45">
        <v>15950.890851851849</v>
      </c>
      <c r="U87" s="45">
        <v>15950.890851851849</v>
      </c>
      <c r="V87" s="45">
        <v>15950.890851851849</v>
      </c>
      <c r="W87" s="47"/>
      <c r="X87" s="47"/>
      <c r="Z87" s="5"/>
    </row>
    <row r="88" spans="1:26" x14ac:dyDescent="0.2">
      <c r="A88" s="8"/>
      <c r="C88" s="48">
        <v>1159</v>
      </c>
      <c r="D88" s="48" t="s">
        <v>14</v>
      </c>
      <c r="E88" s="48">
        <v>1160</v>
      </c>
      <c r="F88" s="48" t="s">
        <v>13</v>
      </c>
      <c r="G88" s="48" t="s">
        <v>1</v>
      </c>
      <c r="H88" s="48" t="s">
        <v>3</v>
      </c>
      <c r="I88" s="47" t="s">
        <v>27</v>
      </c>
      <c r="J88" s="46">
        <f t="shared" si="4"/>
        <v>67329.627327999988</v>
      </c>
      <c r="K88" s="45">
        <v>4843.7551999999996</v>
      </c>
      <c r="L88" s="45">
        <v>5347.7551999999996</v>
      </c>
      <c r="M88" s="45">
        <v>5531.7551999999996</v>
      </c>
      <c r="N88" s="45">
        <v>5531.7551999999996</v>
      </c>
      <c r="O88" s="45">
        <v>5759.3258160000005</v>
      </c>
      <c r="P88" s="45">
        <v>5759.3258160000005</v>
      </c>
      <c r="Q88" s="45">
        <v>5759.3258160000005</v>
      </c>
      <c r="R88" s="45">
        <v>5759.3258160000005</v>
      </c>
      <c r="S88" s="45">
        <v>5759.3258160000005</v>
      </c>
      <c r="T88" s="45">
        <v>5759.3258160000005</v>
      </c>
      <c r="U88" s="45">
        <v>5759.3258160000005</v>
      </c>
      <c r="V88" s="45">
        <v>5759.3258160000005</v>
      </c>
      <c r="W88" s="47"/>
      <c r="X88" s="47"/>
      <c r="Z88" s="5"/>
    </row>
    <row r="89" spans="1:26" x14ac:dyDescent="0.2">
      <c r="A89" s="8"/>
      <c r="C89" s="48">
        <v>1159</v>
      </c>
      <c r="D89" s="48" t="s">
        <v>14</v>
      </c>
      <c r="E89" s="48">
        <v>1160</v>
      </c>
      <c r="F89" s="48" t="s">
        <v>13</v>
      </c>
      <c r="G89" s="48" t="s">
        <v>1</v>
      </c>
      <c r="H89" s="48" t="s">
        <v>3</v>
      </c>
      <c r="I89" s="47" t="s">
        <v>26</v>
      </c>
      <c r="J89" s="46">
        <f t="shared" si="4"/>
        <v>1871.7636397183999</v>
      </c>
      <c r="K89" s="45">
        <v>134.65639456</v>
      </c>
      <c r="L89" s="45">
        <v>148.66759456</v>
      </c>
      <c r="M89" s="45">
        <v>153.78279455999999</v>
      </c>
      <c r="N89" s="45">
        <v>153.78279455999999</v>
      </c>
      <c r="O89" s="45">
        <v>160.10925768479999</v>
      </c>
      <c r="P89" s="45">
        <v>160.10925768479999</v>
      </c>
      <c r="Q89" s="45">
        <v>160.10925768479999</v>
      </c>
      <c r="R89" s="45">
        <v>160.10925768479999</v>
      </c>
      <c r="S89" s="45">
        <v>160.10925768479999</v>
      </c>
      <c r="T89" s="45">
        <v>160.10925768479999</v>
      </c>
      <c r="U89" s="45">
        <v>160.10925768479999</v>
      </c>
      <c r="V89" s="45">
        <v>160.10925768479999</v>
      </c>
      <c r="W89" s="47"/>
      <c r="X89" s="47"/>
      <c r="Z89" s="5"/>
    </row>
    <row r="90" spans="1:26" x14ac:dyDescent="0.2">
      <c r="A90" s="8"/>
      <c r="C90" s="48">
        <v>1159</v>
      </c>
      <c r="D90" s="48" t="s">
        <v>14</v>
      </c>
      <c r="E90" s="48">
        <v>1160</v>
      </c>
      <c r="F90" s="48" t="s">
        <v>13</v>
      </c>
      <c r="G90" s="48" t="s">
        <v>1</v>
      </c>
      <c r="H90" s="48" t="s">
        <v>3</v>
      </c>
      <c r="I90" s="47" t="s">
        <v>25</v>
      </c>
      <c r="J90" s="46">
        <f t="shared" si="4"/>
        <v>5608.557956422399</v>
      </c>
      <c r="K90" s="45">
        <v>403.48480816000006</v>
      </c>
      <c r="L90" s="45">
        <v>445.46800815999995</v>
      </c>
      <c r="M90" s="45">
        <v>460.79520816000002</v>
      </c>
      <c r="N90" s="45">
        <v>460.79520816000002</v>
      </c>
      <c r="O90" s="45">
        <v>479.75184047279998</v>
      </c>
      <c r="P90" s="45">
        <v>479.75184047279998</v>
      </c>
      <c r="Q90" s="45">
        <v>479.75184047279998</v>
      </c>
      <c r="R90" s="45">
        <v>479.75184047279998</v>
      </c>
      <c r="S90" s="45">
        <v>479.75184047279998</v>
      </c>
      <c r="T90" s="45">
        <v>479.75184047279998</v>
      </c>
      <c r="U90" s="45">
        <v>479.75184047279998</v>
      </c>
      <c r="V90" s="45">
        <v>479.75184047279998</v>
      </c>
      <c r="W90" s="47"/>
      <c r="X90" s="47"/>
      <c r="Z90" s="5"/>
    </row>
    <row r="91" spans="1:26" x14ac:dyDescent="0.2">
      <c r="A91" s="8"/>
      <c r="C91" s="48">
        <v>1159</v>
      </c>
      <c r="D91" s="48" t="s">
        <v>14</v>
      </c>
      <c r="E91" s="48">
        <v>1160</v>
      </c>
      <c r="F91" s="48" t="s">
        <v>13</v>
      </c>
      <c r="G91" s="48" t="s">
        <v>1</v>
      </c>
      <c r="H91" s="48" t="s">
        <v>3</v>
      </c>
      <c r="I91" s="47" t="s">
        <v>24</v>
      </c>
      <c r="J91" s="46">
        <f t="shared" si="4"/>
        <v>74062.590060800008</v>
      </c>
      <c r="K91" s="45">
        <v>5328.1307200000001</v>
      </c>
      <c r="L91" s="45">
        <v>5882.5307200000007</v>
      </c>
      <c r="M91" s="45">
        <v>6084.9307200000003</v>
      </c>
      <c r="N91" s="45">
        <v>6084.9307200000003</v>
      </c>
      <c r="O91" s="45">
        <v>6335.2583976000014</v>
      </c>
      <c r="P91" s="45">
        <v>6335.2583976000014</v>
      </c>
      <c r="Q91" s="45">
        <v>6335.2583976000014</v>
      </c>
      <c r="R91" s="45">
        <v>6335.2583976000014</v>
      </c>
      <c r="S91" s="45">
        <v>6335.2583976000014</v>
      </c>
      <c r="T91" s="45">
        <v>6335.2583976000014</v>
      </c>
      <c r="U91" s="45">
        <v>6335.2583976000014</v>
      </c>
      <c r="V91" s="45">
        <v>6335.2583976000014</v>
      </c>
      <c r="W91" s="47"/>
      <c r="X91" s="47"/>
      <c r="Z91" s="5"/>
    </row>
    <row r="92" spans="1:26" x14ac:dyDescent="0.2">
      <c r="A92" s="8"/>
      <c r="C92" s="48">
        <v>1159</v>
      </c>
      <c r="D92" s="48" t="s">
        <v>14</v>
      </c>
      <c r="E92" s="48">
        <v>1160</v>
      </c>
      <c r="F92" s="48" t="s">
        <v>13</v>
      </c>
      <c r="G92" s="48" t="s">
        <v>1</v>
      </c>
      <c r="H92" s="48" t="s">
        <v>3</v>
      </c>
      <c r="I92" s="47" t="s">
        <v>23</v>
      </c>
      <c r="J92" s="46">
        <f t="shared" si="4"/>
        <v>2058.9400036902393</v>
      </c>
      <c r="K92" s="45">
        <v>148.12203401600001</v>
      </c>
      <c r="L92" s="45">
        <v>163.53435401600001</v>
      </c>
      <c r="M92" s="45">
        <v>169.16107401600001</v>
      </c>
      <c r="N92" s="45">
        <v>169.16107401600001</v>
      </c>
      <c r="O92" s="45">
        <v>176.12018345327999</v>
      </c>
      <c r="P92" s="45">
        <v>176.12018345327999</v>
      </c>
      <c r="Q92" s="45">
        <v>176.12018345327999</v>
      </c>
      <c r="R92" s="45">
        <v>176.12018345327999</v>
      </c>
      <c r="S92" s="45">
        <v>176.12018345327999</v>
      </c>
      <c r="T92" s="45">
        <v>176.12018345327999</v>
      </c>
      <c r="U92" s="45">
        <v>176.12018345327999</v>
      </c>
      <c r="V92" s="45">
        <v>176.12018345327999</v>
      </c>
      <c r="W92" s="47"/>
      <c r="X92" s="47"/>
      <c r="Z92" s="5"/>
    </row>
    <row r="93" spans="1:26" x14ac:dyDescent="0.2">
      <c r="A93" s="8"/>
      <c r="C93" s="48">
        <v>1159</v>
      </c>
      <c r="D93" s="48" t="s">
        <v>14</v>
      </c>
      <c r="E93" s="48">
        <v>1160</v>
      </c>
      <c r="F93" s="48" t="s">
        <v>13</v>
      </c>
      <c r="G93" s="48" t="s">
        <v>1</v>
      </c>
      <c r="H93" s="48" t="s">
        <v>3</v>
      </c>
      <c r="I93" s="47" t="s">
        <v>22</v>
      </c>
      <c r="J93" s="46">
        <f t="shared" si="4"/>
        <v>2339.7045496479996</v>
      </c>
      <c r="K93" s="45">
        <v>168.32049319999999</v>
      </c>
      <c r="L93" s="45">
        <v>185.83449319999997</v>
      </c>
      <c r="M93" s="45">
        <v>192.22849319999997</v>
      </c>
      <c r="N93" s="45">
        <v>192.22849319999997</v>
      </c>
      <c r="O93" s="45">
        <v>200.13657210599996</v>
      </c>
      <c r="P93" s="45">
        <v>200.13657210599996</v>
      </c>
      <c r="Q93" s="45">
        <v>200.13657210599996</v>
      </c>
      <c r="R93" s="45">
        <v>200.13657210599996</v>
      </c>
      <c r="S93" s="45">
        <v>200.13657210599996</v>
      </c>
      <c r="T93" s="45">
        <v>200.13657210599996</v>
      </c>
      <c r="U93" s="45">
        <v>200.13657210599996</v>
      </c>
      <c r="V93" s="45">
        <v>200.13657210599996</v>
      </c>
      <c r="W93" s="47"/>
      <c r="X93" s="47"/>
      <c r="Z93" s="5"/>
    </row>
    <row r="94" spans="1:26" x14ac:dyDescent="0.2">
      <c r="A94" s="8"/>
      <c r="C94" s="48">
        <v>1159</v>
      </c>
      <c r="D94" s="48" t="s">
        <v>14</v>
      </c>
      <c r="E94" s="48">
        <v>1160</v>
      </c>
      <c r="F94" s="48" t="s">
        <v>13</v>
      </c>
      <c r="G94" s="48" t="s">
        <v>1</v>
      </c>
      <c r="H94" s="48" t="s">
        <v>3</v>
      </c>
      <c r="I94" s="47" t="s">
        <v>21</v>
      </c>
      <c r="J94" s="46">
        <f t="shared" si="4"/>
        <v>6169.4137520646391</v>
      </c>
      <c r="K94" s="45">
        <v>443.83328897600006</v>
      </c>
      <c r="L94" s="45">
        <v>490.01480897600004</v>
      </c>
      <c r="M94" s="45">
        <v>506.87472897600003</v>
      </c>
      <c r="N94" s="45">
        <v>506.87472897600003</v>
      </c>
      <c r="O94" s="45">
        <v>527.72702452008002</v>
      </c>
      <c r="P94" s="45">
        <v>527.72702452008002</v>
      </c>
      <c r="Q94" s="45">
        <v>527.72702452008002</v>
      </c>
      <c r="R94" s="45">
        <v>527.72702452008002</v>
      </c>
      <c r="S94" s="45">
        <v>527.72702452008002</v>
      </c>
      <c r="T94" s="45">
        <v>527.72702452008002</v>
      </c>
      <c r="U94" s="45">
        <v>527.72702452008002</v>
      </c>
      <c r="V94" s="45">
        <v>527.72702452008002</v>
      </c>
      <c r="W94" s="47"/>
      <c r="X94" s="47"/>
      <c r="Z94" s="5"/>
    </row>
    <row r="95" spans="1:26" x14ac:dyDescent="0.2">
      <c r="A95" s="8"/>
      <c r="C95" s="48">
        <v>1159</v>
      </c>
      <c r="D95" s="48" t="s">
        <v>14</v>
      </c>
      <c r="E95" s="48">
        <v>1160</v>
      </c>
      <c r="F95" s="48" t="s">
        <v>13</v>
      </c>
      <c r="G95" s="48" t="s">
        <v>1</v>
      </c>
      <c r="H95" s="48" t="s">
        <v>3</v>
      </c>
      <c r="I95" s="47" t="s">
        <v>20</v>
      </c>
      <c r="J95" s="46">
        <f t="shared" si="4"/>
        <v>7010.6974455279988</v>
      </c>
      <c r="K95" s="45">
        <v>504.35601020000001</v>
      </c>
      <c r="L95" s="45">
        <v>556.83501019999994</v>
      </c>
      <c r="M95" s="45">
        <v>575.99401019999993</v>
      </c>
      <c r="N95" s="45">
        <v>575.99401019999993</v>
      </c>
      <c r="O95" s="45">
        <v>599.68980059099999</v>
      </c>
      <c r="P95" s="45">
        <v>599.68980059099999</v>
      </c>
      <c r="Q95" s="45">
        <v>599.68980059099999</v>
      </c>
      <c r="R95" s="45">
        <v>599.68980059099999</v>
      </c>
      <c r="S95" s="45">
        <v>599.68980059099999</v>
      </c>
      <c r="T95" s="45">
        <v>599.68980059099999</v>
      </c>
      <c r="U95" s="45">
        <v>599.68980059099999</v>
      </c>
      <c r="V95" s="45">
        <v>599.68980059099999</v>
      </c>
      <c r="W95" s="47"/>
      <c r="X95" s="47"/>
      <c r="Z95" s="5"/>
    </row>
    <row r="96" spans="1:26" x14ac:dyDescent="0.2">
      <c r="A96" s="8"/>
      <c r="C96" s="48">
        <v>1159</v>
      </c>
      <c r="D96" s="48" t="s">
        <v>14</v>
      </c>
      <c r="E96" s="48">
        <v>1160</v>
      </c>
      <c r="F96" s="48" t="s">
        <v>13</v>
      </c>
      <c r="G96" s="48" t="s">
        <v>1</v>
      </c>
      <c r="H96" s="48" t="s">
        <v>3</v>
      </c>
      <c r="I96" s="47" t="s">
        <v>19</v>
      </c>
      <c r="J96" s="46">
        <f t="shared" si="4"/>
        <v>84162.034159999967</v>
      </c>
      <c r="K96" s="45">
        <v>6054.6940000000004</v>
      </c>
      <c r="L96" s="45">
        <v>6684.6939999999995</v>
      </c>
      <c r="M96" s="45">
        <v>6914.6939999999995</v>
      </c>
      <c r="N96" s="45">
        <v>6914.6939999999995</v>
      </c>
      <c r="O96" s="45">
        <v>7199.1572699999997</v>
      </c>
      <c r="P96" s="45">
        <v>7199.1572699999997</v>
      </c>
      <c r="Q96" s="45">
        <v>7199.1572699999997</v>
      </c>
      <c r="R96" s="45">
        <v>7199.1572699999997</v>
      </c>
      <c r="S96" s="45">
        <v>7199.1572699999997</v>
      </c>
      <c r="T96" s="45">
        <v>7199.1572699999997</v>
      </c>
      <c r="U96" s="45">
        <v>7199.1572699999997</v>
      </c>
      <c r="V96" s="45">
        <v>7199.1572699999997</v>
      </c>
      <c r="W96" s="47"/>
      <c r="X96" s="47"/>
      <c r="Z96" s="5"/>
    </row>
    <row r="97" spans="1:26" x14ac:dyDescent="0.2">
      <c r="A97" s="8"/>
      <c r="C97" s="48">
        <v>1159</v>
      </c>
      <c r="D97" s="48" t="s">
        <v>14</v>
      </c>
      <c r="E97" s="48">
        <v>1160</v>
      </c>
      <c r="F97" s="48" t="s">
        <v>13</v>
      </c>
      <c r="G97" s="48" t="s">
        <v>1</v>
      </c>
      <c r="H97" s="48" t="s">
        <v>3</v>
      </c>
      <c r="I97" s="47" t="s">
        <v>18</v>
      </c>
      <c r="J97" s="46">
        <f t="shared" si="4"/>
        <v>823952.69359999977</v>
      </c>
      <c r="K97" s="45">
        <v>59431.319999999992</v>
      </c>
      <c r="L97" s="45">
        <v>65474.28</v>
      </c>
      <c r="M97" s="45">
        <v>67636.28</v>
      </c>
      <c r="N97" s="45">
        <v>67636.28</v>
      </c>
      <c r="O97" s="45">
        <v>70471.816699999996</v>
      </c>
      <c r="P97" s="45">
        <v>70471.816699999996</v>
      </c>
      <c r="Q97" s="45">
        <v>70471.816699999996</v>
      </c>
      <c r="R97" s="45">
        <v>70471.816699999996</v>
      </c>
      <c r="S97" s="45">
        <v>70471.816699999996</v>
      </c>
      <c r="T97" s="45">
        <v>70471.816699999996</v>
      </c>
      <c r="U97" s="45">
        <v>70471.816699999996</v>
      </c>
      <c r="V97" s="45">
        <v>70471.816699999996</v>
      </c>
      <c r="W97" s="47"/>
      <c r="X97" s="47"/>
      <c r="Z97" s="5"/>
    </row>
    <row r="98" spans="1:26" x14ac:dyDescent="0.2">
      <c r="A98" s="8"/>
      <c r="C98" s="48">
        <v>1159</v>
      </c>
      <c r="D98" s="48" t="s">
        <v>14</v>
      </c>
      <c r="E98" s="48">
        <v>1160</v>
      </c>
      <c r="F98" s="48" t="s">
        <v>13</v>
      </c>
      <c r="G98" s="48" t="s">
        <v>1</v>
      </c>
      <c r="H98" s="48" t="s">
        <v>3</v>
      </c>
      <c r="I98" s="47" t="s">
        <v>17</v>
      </c>
      <c r="J98" s="46">
        <f t="shared" si="4"/>
        <v>2414.2560000000003</v>
      </c>
      <c r="K98" s="45">
        <v>157.68</v>
      </c>
      <c r="L98" s="45">
        <v>175.20000000000002</v>
      </c>
      <c r="M98" s="45">
        <v>192.72000000000003</v>
      </c>
      <c r="N98" s="45">
        <v>192.72000000000003</v>
      </c>
      <c r="O98" s="45">
        <v>211.99199999999999</v>
      </c>
      <c r="P98" s="45">
        <v>211.99199999999999</v>
      </c>
      <c r="Q98" s="45">
        <v>211.99199999999999</v>
      </c>
      <c r="R98" s="45">
        <v>211.99199999999999</v>
      </c>
      <c r="S98" s="45">
        <v>211.99199999999999</v>
      </c>
      <c r="T98" s="45">
        <v>211.99199999999999</v>
      </c>
      <c r="U98" s="45">
        <v>211.99199999999999</v>
      </c>
      <c r="V98" s="45">
        <v>211.99199999999999</v>
      </c>
      <c r="W98" s="47"/>
      <c r="X98" s="47"/>
      <c r="Z98" s="5"/>
    </row>
    <row r="99" spans="1:26" x14ac:dyDescent="0.2">
      <c r="A99" s="8"/>
      <c r="C99" s="48">
        <v>1159</v>
      </c>
      <c r="D99" s="48" t="s">
        <v>14</v>
      </c>
      <c r="E99" s="48">
        <v>1160</v>
      </c>
      <c r="F99" s="48" t="s">
        <v>13</v>
      </c>
      <c r="G99" s="48" t="s">
        <v>1</v>
      </c>
      <c r="H99" s="48" t="s">
        <v>3</v>
      </c>
      <c r="I99" s="47" t="s">
        <v>12</v>
      </c>
      <c r="J99" s="46">
        <f t="shared" si="4"/>
        <v>111686.40000000002</v>
      </c>
      <c r="K99" s="45">
        <v>7560</v>
      </c>
      <c r="L99" s="45">
        <v>8400</v>
      </c>
      <c r="M99" s="45">
        <v>9240</v>
      </c>
      <c r="N99" s="45">
        <v>9240</v>
      </c>
      <c r="O99" s="45">
        <v>9655.7999999999993</v>
      </c>
      <c r="P99" s="45">
        <v>9655.7999999999993</v>
      </c>
      <c r="Q99" s="45">
        <v>9655.7999999999993</v>
      </c>
      <c r="R99" s="45">
        <v>9655.7999999999993</v>
      </c>
      <c r="S99" s="45">
        <v>9655.7999999999993</v>
      </c>
      <c r="T99" s="45">
        <v>9655.7999999999993</v>
      </c>
      <c r="U99" s="45">
        <v>9655.7999999999993</v>
      </c>
      <c r="V99" s="45">
        <v>9655.7999999999993</v>
      </c>
      <c r="W99" s="47"/>
      <c r="X99" s="47"/>
      <c r="Z99" s="5"/>
    </row>
    <row r="100" spans="1:26" x14ac:dyDescent="0.2">
      <c r="A100" s="8"/>
      <c r="C100" s="48">
        <v>1159</v>
      </c>
      <c r="D100" s="48" t="s">
        <v>14</v>
      </c>
      <c r="E100" s="48">
        <v>1160</v>
      </c>
      <c r="F100" s="48" t="s">
        <v>13</v>
      </c>
      <c r="G100" s="48" t="s">
        <v>1</v>
      </c>
      <c r="H100" s="48" t="s">
        <v>3</v>
      </c>
      <c r="I100" s="47" t="s">
        <v>16</v>
      </c>
      <c r="J100" s="46">
        <f t="shared" si="4"/>
        <v>5397.84</v>
      </c>
      <c r="K100" s="45">
        <v>0</v>
      </c>
      <c r="L100" s="45">
        <v>257.04000000000002</v>
      </c>
      <c r="M100" s="45">
        <v>514.08000000000004</v>
      </c>
      <c r="N100" s="45">
        <v>514.08000000000004</v>
      </c>
      <c r="O100" s="45">
        <v>514.08000000000004</v>
      </c>
      <c r="P100" s="45">
        <v>514.08000000000004</v>
      </c>
      <c r="Q100" s="45">
        <v>514.08000000000004</v>
      </c>
      <c r="R100" s="45">
        <v>514.08000000000004</v>
      </c>
      <c r="S100" s="45">
        <v>514.08000000000004</v>
      </c>
      <c r="T100" s="45">
        <v>514.08000000000004</v>
      </c>
      <c r="U100" s="45">
        <v>514.08000000000004</v>
      </c>
      <c r="V100" s="45">
        <v>514.08000000000004</v>
      </c>
      <c r="W100" s="47"/>
      <c r="X100" s="47"/>
      <c r="Z100" s="5"/>
    </row>
    <row r="101" spans="1:26" x14ac:dyDescent="0.2">
      <c r="Z101" s="5"/>
    </row>
    <row r="102" spans="1:26" x14ac:dyDescent="0.2">
      <c r="Z102" s="5"/>
    </row>
    <row r="103" spans="1:26" x14ac:dyDescent="0.2">
      <c r="Z103" s="5"/>
    </row>
    <row r="104" spans="1:26" x14ac:dyDescent="0.2">
      <c r="Z104" s="5"/>
    </row>
    <row r="105" spans="1:26" x14ac:dyDescent="0.2">
      <c r="Z105" s="5"/>
    </row>
    <row r="106" spans="1:26" x14ac:dyDescent="0.2">
      <c r="Z106" s="5"/>
    </row>
    <row r="107" spans="1:26" x14ac:dyDescent="0.2">
      <c r="Z107" s="5"/>
    </row>
    <row r="108" spans="1:26" x14ac:dyDescent="0.2">
      <c r="Z108" s="5"/>
    </row>
    <row r="109" spans="1:26" x14ac:dyDescent="0.2">
      <c r="Z109" s="5"/>
    </row>
    <row r="110" spans="1:26" x14ac:dyDescent="0.2">
      <c r="Z110" s="5"/>
    </row>
    <row r="111" spans="1:26" x14ac:dyDescent="0.2">
      <c r="Z111" s="5"/>
    </row>
    <row r="112" spans="1:26" x14ac:dyDescent="0.2">
      <c r="Z112" s="5"/>
    </row>
    <row r="113" spans="26:26" x14ac:dyDescent="0.2">
      <c r="Z113" s="5"/>
    </row>
    <row r="114" spans="26:26" x14ac:dyDescent="0.2">
      <c r="Z114" s="5"/>
    </row>
    <row r="115" spans="26:26" x14ac:dyDescent="0.2">
      <c r="Z115" s="5"/>
    </row>
    <row r="116" spans="26:26" x14ac:dyDescent="0.2">
      <c r="Z116" s="5"/>
    </row>
    <row r="117" spans="26:26" x14ac:dyDescent="0.2">
      <c r="Z117" s="5"/>
    </row>
    <row r="118" spans="26:26" x14ac:dyDescent="0.2">
      <c r="Z118" s="5"/>
    </row>
    <row r="119" spans="26:26" x14ac:dyDescent="0.2">
      <c r="Z119" s="5"/>
    </row>
    <row r="120" spans="26:26" x14ac:dyDescent="0.2">
      <c r="Z120" s="5"/>
    </row>
    <row r="121" spans="26:26" x14ac:dyDescent="0.2">
      <c r="Z121" s="5"/>
    </row>
    <row r="122" spans="26:26" x14ac:dyDescent="0.2">
      <c r="Z122" s="5"/>
    </row>
    <row r="123" spans="26:26" x14ac:dyDescent="0.2">
      <c r="Z123" s="5"/>
    </row>
    <row r="124" spans="26:26" x14ac:dyDescent="0.2">
      <c r="Z124" s="5"/>
    </row>
    <row r="125" spans="26:26" x14ac:dyDescent="0.2">
      <c r="Z125" s="5"/>
    </row>
    <row r="126" spans="26:26" x14ac:dyDescent="0.2">
      <c r="Z126" s="5"/>
    </row>
    <row r="127" spans="26:26" x14ac:dyDescent="0.2">
      <c r="Z127" s="5"/>
    </row>
    <row r="128" spans="26:26" x14ac:dyDescent="0.2">
      <c r="Z128" s="5"/>
    </row>
    <row r="129" spans="25:26" x14ac:dyDescent="0.2">
      <c r="Z129" s="5"/>
    </row>
    <row r="130" spans="25:26" x14ac:dyDescent="0.2">
      <c r="Z130" s="5"/>
    </row>
    <row r="131" spans="25:26" x14ac:dyDescent="0.2">
      <c r="Z131" s="5"/>
    </row>
    <row r="132" spans="25:26" x14ac:dyDescent="0.2">
      <c r="Z132" s="5"/>
    </row>
    <row r="133" spans="25:26" x14ac:dyDescent="0.2">
      <c r="Y133" s="3"/>
      <c r="Z133" s="3"/>
    </row>
  </sheetData>
  <mergeCells count="1">
    <mergeCell ref="C3:H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0900c2-8561-44af-97d1-1a6105de5687">
      <Terms xmlns="http://schemas.microsoft.com/office/infopath/2007/PartnerControls"/>
    </lcf76f155ced4ddcb4097134ff3c332f>
    <TaxCatchAll xmlns="352bcaa3-cb80-4300-98c0-d71b3ff808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583A199F89CE41974366A2B1BBA598" ma:contentTypeVersion="14" ma:contentTypeDescription="Crie um novo documento." ma:contentTypeScope="" ma:versionID="2694472d2a5152cecb8264090791a7fc">
  <xsd:schema xmlns:xsd="http://www.w3.org/2001/XMLSchema" xmlns:xs="http://www.w3.org/2001/XMLSchema" xmlns:p="http://schemas.microsoft.com/office/2006/metadata/properties" xmlns:ns2="780900c2-8561-44af-97d1-1a6105de5687" xmlns:ns3="352bcaa3-cb80-4300-98c0-d71b3ff8080a" targetNamespace="http://schemas.microsoft.com/office/2006/metadata/properties" ma:root="true" ma:fieldsID="e4be163280ebf65d9b97d738eee3a15f" ns2:_="" ns3:_="">
    <xsd:import namespace="780900c2-8561-44af-97d1-1a6105de5687"/>
    <xsd:import namespace="352bcaa3-cb80-4300-98c0-d71b3ff808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900c2-8561-44af-97d1-1a6105de5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d85caa-6fd0-4f6d-b26c-cff04c3010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bcaa3-cb80-4300-98c0-d71b3ff8080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09e2190-9b9b-4d74-8434-9ab601d3892b}" ma:internalName="TaxCatchAll" ma:showField="CatchAllData" ma:web="352bcaa3-cb80-4300-98c0-d71b3ff808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CC546-ABB9-4C49-8216-078EAF486E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13011E-4137-4BB3-86B8-38948065B359}">
  <ds:schemaRefs>
    <ds:schemaRef ds:uri="http://schemas.microsoft.com/office/2006/metadata/properties"/>
    <ds:schemaRef ds:uri="http://schemas.microsoft.com/office/infopath/2007/PartnerControls"/>
    <ds:schemaRef ds:uri="780900c2-8561-44af-97d1-1a6105de5687"/>
    <ds:schemaRef ds:uri="352bcaa3-cb80-4300-98c0-d71b3ff8080a"/>
  </ds:schemaRefs>
</ds:datastoreItem>
</file>

<file path=customXml/itemProps3.xml><?xml version="1.0" encoding="utf-8"?>
<ds:datastoreItem xmlns:ds="http://schemas.openxmlformats.org/officeDocument/2006/customXml" ds:itemID="{C8F33F7D-8F00-4A98-A87B-77589BCDA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900c2-8561-44af-97d1-1a6105de5687"/>
    <ds:schemaRef ds:uri="352bcaa3-cb80-4300-98c0-d71b3ff808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01. Dinâmica Comparativo POx5M</vt:lpstr>
      <vt:lpstr>02. BD Comparativo POx5M</vt:lpstr>
      <vt:lpstr>03.Dinâmica do Realizado 5M</vt:lpstr>
      <vt:lpstr>04. BD do Realizado 5M</vt:lpstr>
      <vt:lpstr>05. Dinâmica do PO 5M</vt:lpstr>
      <vt:lpstr>06. BD do PO 5M</vt:lpstr>
      <vt:lpstr>07. PO 2026 -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Neri de Sousa</dc:creator>
  <cp:lastModifiedBy>Victor Vasconcelos Miranda</cp:lastModifiedBy>
  <dcterms:created xsi:type="dcterms:W3CDTF">2026-06-24T19:32:29Z</dcterms:created>
  <dcterms:modified xsi:type="dcterms:W3CDTF">2026-07-28T23:18:07Z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0x010100B8583A199F89CE41974366A2B1BBA598</vt:lpwstr>
  </property>
  <property fmtid="{D5CDD505-2E9C-101B-9397-08002B2CF9AE}" pid="5" name="MediaServiceImageTags">
    <vt:lpwstr/>
  </property>
</Properties>
</file>